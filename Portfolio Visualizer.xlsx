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karth\Desktop\"/>
    </mc:Choice>
  </mc:AlternateContent>
  <xr:revisionPtr revIDLastSave="0" documentId="13_ncr:1_{7C37D040-57E1-4D3E-A61B-CC4008B3C5F7}" xr6:coauthVersionLast="47" xr6:coauthVersionMax="47" xr10:uidLastSave="{00000000-0000-0000-0000-000000000000}"/>
  <bookViews>
    <workbookView xWindow="-108" yWindow="-108" windowWidth="23256" windowHeight="12456" tabRatio="911" activeTab="8" xr2:uid="{AE502AE8-D155-489E-B6CC-F5076D581C56}"/>
  </bookViews>
  <sheets>
    <sheet name="Project_Overview" sheetId="16" r:id="rId1"/>
    <sheet name="Master_Sheet" sheetId="8" r:id="rId2"/>
    <sheet name="IND_TNX" sheetId="1" r:id="rId3"/>
    <sheet name="IND_HOLDINGS" sheetId="3" r:id="rId4"/>
    <sheet name="SUMMARY" sheetId="5" r:id="rId5"/>
    <sheet name="PORT_HISTORY" sheetId="9" r:id="rId6"/>
    <sheet name="SIP" sheetId="6" r:id="rId7"/>
    <sheet name="SIP-SUMMARY" sheetId="7" r:id="rId8"/>
    <sheet name="FORMULA_REFERENCE" sheetId="18" r:id="rId9"/>
  </sheets>
  <definedNames>
    <definedName name="_xlnm._FilterDatabase" localSheetId="3" hidden="1">IND_HOLDINGS!$A$2:$A$34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7" l="1" a="1"/>
  <c r="F3" i="7"/>
  <c r="F4" i="7" a="1"/>
  <c r="F4" i="7"/>
  <c r="F2" i="7" a="1"/>
  <c r="F2" i="7" s="1"/>
  <c r="D2" i="7"/>
  <c r="G2" i="7" s="1"/>
  <c r="G3" i="7"/>
  <c r="G4" i="7"/>
  <c r="D4" i="7"/>
  <c r="D3" i="7"/>
  <c r="A2" i="7" a="1"/>
  <c r="A2" i="7" s="1"/>
  <c r="B8" i="5"/>
  <c r="E13" i="9"/>
  <c r="E14" i="9"/>
  <c r="E15" i="9"/>
  <c r="F9" i="3" a="1"/>
  <c r="F9" i="3" s="1"/>
  <c r="F8" i="3" a="1"/>
  <c r="F8" i="3" s="1"/>
  <c r="F7" i="3" a="1"/>
  <c r="F7" i="3" s="1"/>
  <c r="F6" i="3" a="1"/>
  <c r="F6" i="3" s="1"/>
  <c r="F5" i="3" a="1"/>
  <c r="F5" i="3" s="1"/>
  <c r="F4" i="3" a="1"/>
  <c r="F4" i="3" s="1"/>
  <c r="F3" i="3" a="1"/>
  <c r="F3" i="3" s="1"/>
  <c r="F2" i="3" a="1"/>
  <c r="F2" i="3" s="1"/>
  <c r="A2" i="3" a="1"/>
  <c r="D5" i="3" s="1"/>
  <c r="D12" i="9"/>
  <c r="E12" i="9" s="1"/>
  <c r="D11" i="9"/>
  <c r="E11" i="9" s="1"/>
  <c r="D10" i="9"/>
  <c r="E10" i="9" s="1"/>
  <c r="D9" i="9"/>
  <c r="E9" i="9" s="1"/>
  <c r="D8" i="9"/>
  <c r="E8" i="9" s="1"/>
  <c r="D7" i="9"/>
  <c r="E7" i="9" s="1"/>
  <c r="D6" i="9"/>
  <c r="E6" i="9" s="1"/>
  <c r="D5" i="9"/>
  <c r="E5" i="9" s="1"/>
  <c r="D4" i="9"/>
  <c r="E4" i="9" s="1"/>
  <c r="D3" i="9"/>
  <c r="E3" i="9" s="1"/>
  <c r="D2" i="9"/>
  <c r="E2" i="9" s="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H3" i="7" l="1"/>
  <c r="I3" i="7" s="1"/>
  <c r="E3" i="7"/>
  <c r="H4" i="7"/>
  <c r="I4" i="7" s="1"/>
  <c r="E4" i="7"/>
  <c r="A2" i="3"/>
  <c r="C8" i="3"/>
  <c r="C3" i="3"/>
  <c r="C9" i="3"/>
  <c r="G9" i="3" s="1"/>
  <c r="C4" i="3"/>
  <c r="D9" i="3"/>
  <c r="D4" i="3"/>
  <c r="D6" i="3"/>
  <c r="D3" i="3"/>
  <c r="C5" i="3"/>
  <c r="E5" i="3" s="1"/>
  <c r="C6" i="3"/>
  <c r="G6" i="3" s="1"/>
  <c r="C7" i="3"/>
  <c r="G7" i="3" s="1"/>
  <c r="D7" i="3"/>
  <c r="D8" i="3"/>
  <c r="E8" i="3" l="1"/>
  <c r="E6" i="3"/>
  <c r="I6" i="3" s="1"/>
  <c r="J6" i="3" s="1"/>
  <c r="E3" i="3"/>
  <c r="C2" i="3"/>
  <c r="D2" i="3"/>
  <c r="E7" i="3"/>
  <c r="I7" i="3" s="1"/>
  <c r="J7" i="3" s="1"/>
  <c r="G3" i="3"/>
  <c r="I3" i="3" s="1"/>
  <c r="J3" i="3" s="1"/>
  <c r="G5" i="3"/>
  <c r="I5" i="3" s="1"/>
  <c r="J5" i="3" s="1"/>
  <c r="G8" i="3"/>
  <c r="E4" i="3"/>
  <c r="G4" i="3"/>
  <c r="E9" i="3"/>
  <c r="I9" i="3" s="1"/>
  <c r="J9" i="3" s="1"/>
  <c r="I8" i="3" l="1"/>
  <c r="J8" i="3" s="1"/>
  <c r="I4" i="3"/>
  <c r="J4" i="3" s="1"/>
  <c r="E2" i="3"/>
  <c r="G2" i="3"/>
  <c r="B4" i="5" l="1"/>
  <c r="B7" i="5" s="1"/>
  <c r="N3" i="3"/>
  <c r="H2" i="3" s="1"/>
  <c r="I2" i="3"/>
  <c r="N2" i="3"/>
  <c r="B3" i="5"/>
  <c r="F4" i="5" l="1"/>
  <c r="B5" i="5"/>
  <c r="F6" i="5"/>
  <c r="E6" i="5"/>
  <c r="N4" i="3"/>
  <c r="N5" i="3" s="1"/>
  <c r="E4" i="5"/>
  <c r="J2" i="3"/>
  <c r="K2" i="3" s="1"/>
  <c r="B6" i="5"/>
  <c r="H9" i="3"/>
  <c r="K9" i="3" s="1"/>
  <c r="H6" i="3"/>
  <c r="K6" i="3" s="1"/>
  <c r="H4" i="3"/>
  <c r="K4" i="3" s="1"/>
  <c r="H7" i="3"/>
  <c r="K7" i="3" s="1"/>
  <c r="H3" i="3"/>
  <c r="K3" i="3" s="1"/>
  <c r="H8" i="3"/>
  <c r="K8" i="3" s="1"/>
  <c r="H5" i="3"/>
  <c r="K5" i="3" s="1"/>
  <c r="E2" i="5" l="1"/>
  <c r="F2" i="5"/>
  <c r="E2" i="7"/>
  <c r="H2" i="7"/>
  <c r="I2"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3"/>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5"/>
        </ext>
      </extLst>
    </bk>
    <bk>
      <extLst>
        <ext uri="{3e2802c4-a4d2-4d8b-9148-e3be6c30e623}">
          <xlrd:rvb i="18"/>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<sst xmlns="http://schemas.openxmlformats.org/spreadsheetml/2006/main" count="404" uniqueCount="120">
  <si>
    <t>Date</t>
  </si>
  <si>
    <t>Asset Name</t>
  </si>
  <si>
    <t>Ticker</t>
  </si>
  <si>
    <t>Quantity</t>
  </si>
  <si>
    <t>Zerodha Gold ETF</t>
  </si>
  <si>
    <t>GOLDCASE:NSE</t>
  </si>
  <si>
    <t>BUY</t>
  </si>
  <si>
    <t>23/09/2025</t>
  </si>
  <si>
    <t>Tata Silver Exchange Traded Fund</t>
  </si>
  <si>
    <t>TATSILV:NSE</t>
  </si>
  <si>
    <t>Zerodha Silver ETF</t>
  </si>
  <si>
    <t>SILVERCASE:NSE</t>
  </si>
  <si>
    <t>15/11/2025</t>
  </si>
  <si>
    <t>14/12/2025</t>
  </si>
  <si>
    <t>Nippon India ETF Gold BeES</t>
  </si>
  <si>
    <t>GOLDBEES:NSE</t>
  </si>
  <si>
    <t>15/12/2025</t>
  </si>
  <si>
    <t>Nippon India Silver ETF</t>
  </si>
  <si>
    <t>SILVERBEES:NSE</t>
  </si>
  <si>
    <t>16/12/2025</t>
  </si>
  <si>
    <t>Tata Gold Exchange Traded Fund</t>
  </si>
  <si>
    <t>TATAGOLD:NSE</t>
  </si>
  <si>
    <t>17/12/2025</t>
  </si>
  <si>
    <t>Suzlon Energy Ltd</t>
  </si>
  <si>
    <t>SUZLON:NSE</t>
  </si>
  <si>
    <t>Indian Overseas Bank</t>
  </si>
  <si>
    <t>IOB:NSE</t>
  </si>
  <si>
    <t>SELL</t>
  </si>
  <si>
    <t>29/12/2025</t>
  </si>
  <si>
    <t>Tesla Inc</t>
  </si>
  <si>
    <t>Alphabet Inc Class C</t>
  </si>
  <si>
    <t>Invesco QQQ Trust, Series 1</t>
  </si>
  <si>
    <t>NVIDIA Corp</t>
  </si>
  <si>
    <t>Microsoft Corp</t>
  </si>
  <si>
    <t>Vanguard Total Stock Market Index Fund ETF</t>
  </si>
  <si>
    <t>NAME</t>
  </si>
  <si>
    <t>BUY/Sell</t>
  </si>
  <si>
    <t>Units</t>
  </si>
  <si>
    <t>NAV</t>
  </si>
  <si>
    <t>KOTAK LARGE CAP FUND</t>
  </si>
  <si>
    <t>NIPPON INDIA LARGE CAP FUND</t>
  </si>
  <si>
    <t>13/05/2024</t>
  </si>
  <si>
    <t>28/08/2024</t>
  </si>
  <si>
    <t>23/09/2024</t>
  </si>
  <si>
    <t>28/10/2024</t>
  </si>
  <si>
    <t>25/11/2024</t>
  </si>
  <si>
    <t>26/12/2024</t>
  </si>
  <si>
    <t>28/01/2025</t>
  </si>
  <si>
    <t>25/02/2025</t>
  </si>
  <si>
    <t>25/04/2025</t>
  </si>
  <si>
    <t>24/07/2025</t>
  </si>
  <si>
    <t>25/08/2025</t>
  </si>
  <si>
    <t>26/09/2025</t>
  </si>
  <si>
    <t>27/10/2025</t>
  </si>
  <si>
    <t>26/11/2025</t>
  </si>
  <si>
    <t>Nippon India Mid Cap Fund</t>
  </si>
  <si>
    <t>Region</t>
  </si>
  <si>
    <t>Asset Type</t>
  </si>
  <si>
    <t>India</t>
  </si>
  <si>
    <t>Equity</t>
  </si>
  <si>
    <t>INR</t>
  </si>
  <si>
    <t>Commodity</t>
  </si>
  <si>
    <t>USD</t>
  </si>
  <si>
    <t>ETF</t>
  </si>
  <si>
    <t>Kotak Large Cap Direct Growth</t>
  </si>
  <si>
    <t>KOTA_LARG_CAP_1PEWE5X:MUTF_IN</t>
  </si>
  <si>
    <t>MF</t>
  </si>
  <si>
    <t>Nippon India Large Cap Fund - Direct Plan - Growth Plan</t>
  </si>
  <si>
    <t>NIPP_INDI_LARG_M0P6CR:MUTF_IN</t>
  </si>
  <si>
    <t>Kotak Silver ETF</t>
  </si>
  <si>
    <t>US</t>
  </si>
  <si>
    <t>Currency</t>
  </si>
  <si>
    <t>Active</t>
  </si>
  <si>
    <t>Yes</t>
  </si>
  <si>
    <t>Trade Price</t>
  </si>
  <si>
    <t>Trade Value</t>
  </si>
  <si>
    <t>Avg Price</t>
  </si>
  <si>
    <t>Invested</t>
  </si>
  <si>
    <t>Live Price</t>
  </si>
  <si>
    <t>Current Value</t>
  </si>
  <si>
    <t>P&amp;L</t>
  </si>
  <si>
    <t>Return %</t>
  </si>
  <si>
    <t xml:space="preserve">SILVERCASE:NSE </t>
  </si>
  <si>
    <t>MSFT:NASDAQ</t>
  </si>
  <si>
    <t>QQQ:NASDAQ</t>
  </si>
  <si>
    <t>VTI:NYSEARCA</t>
  </si>
  <si>
    <t>TSLA:NASDAQ</t>
  </si>
  <si>
    <t>NVDA:NASDAQ</t>
  </si>
  <si>
    <t>GOOG:NASDAQ</t>
  </si>
  <si>
    <t>SILVER1:NSE</t>
  </si>
  <si>
    <t>Portfolio Totals</t>
  </si>
  <si>
    <t>Total Invested</t>
  </si>
  <si>
    <t>Total Current Value</t>
  </si>
  <si>
    <t>Total P&amp;L</t>
  </si>
  <si>
    <t>Portfolio Return</t>
  </si>
  <si>
    <t>Weight</t>
  </si>
  <si>
    <t xml:space="preserve">INR </t>
  </si>
  <si>
    <t>Portfolio Value</t>
  </si>
  <si>
    <t>Profit</t>
  </si>
  <si>
    <t>Type</t>
  </si>
  <si>
    <t>s</t>
  </si>
  <si>
    <t>Metric</t>
  </si>
  <si>
    <t>Asset</t>
  </si>
  <si>
    <t>Value</t>
  </si>
  <si>
    <t>🥇Top Holding</t>
  </si>
  <si>
    <t>💰Biggest Profit</t>
  </si>
  <si>
    <t>📉Worst Performer</t>
  </si>
  <si>
    <t>PORTFOLIO DASHBOARD</t>
  </si>
  <si>
    <t>Total Profit</t>
  </si>
  <si>
    <t>Contribution</t>
  </si>
  <si>
    <t>CAGR</t>
  </si>
  <si>
    <t>Total Assets</t>
  </si>
  <si>
    <t>Fund Name</t>
  </si>
  <si>
    <t>P/L</t>
  </si>
  <si>
    <t>P/L %</t>
  </si>
  <si>
    <t>Total Units</t>
  </si>
  <si>
    <t>Current NAV</t>
  </si>
  <si>
    <t>Scheme Code</t>
  </si>
  <si>
    <t>Avg NAV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</si>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</sst>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4009]\ #,##0"/>
    <numFmt numFmtId="166" formatCode="[$₹-4009]\ #,##0.0;[$₹-4009]\ \-#,##0.0"/>
    <numFmt numFmtId="167" formatCode="[$₹-449]\ #,##0.0;[$₹-449]\ \-#,##0.0"/>
    <numFmt numFmtId="168" formatCode="[$₹-4009]\ #,##0.0;[Red][$₹-4009]\ \-#,##0.0"/>
  </numFmts>
  <fonts count="22">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rial"/>
      <family val="2"/>
    </font>
    <font>
      <sz val="12"/>
      <color theme="1"/>
      <name val="Arial"/>
      <family val="2"/>
    </font>
    <font>
      <sz val="11"/>
      <color theme="1"/>
      <name val="Aptos Narrow"/>
      <family val="2"/>
    </font>
    <font>
      <b/>
      <sz val="12"/>
      <color theme="1"/>
      <name val="Google Sans"/>
    </font>
    <font>
      <sz val="12"/>
      <color theme="1"/>
      <name val="Google Sans"/>
    </font>
    <font>
      <sz val="11"/>
      <color theme="1"/>
      <name val="Arial"/>
      <family val="2"/>
    </font>
    <font>
      <sz val="10"/>
      <color theme="1"/>
      <name val="Arial"/>
      <family val="2"/>
    </font>
    <font>
      <sz val="12"/>
      <color theme="1"/>
      <name val="Calibri"/>
      <family val="2"/>
    </font>
    <font>
      <strike/>
      <sz val="12"/>
      <color theme="1"/>
      <name val="Calibri"/>
      <family val="2"/>
    </font>
    <font>
      <sz val="8"/>
      <color rgb="FFADAFB8"/>
      <name val="Arial"/>
      <family val="2"/>
    </font>
    <font>
      <b/>
      <sz val="14"/>
      <color theme="1"/>
      <name val="Aptos Narrow"/>
      <family val="2"/>
      <scheme val="minor"/>
    </font>
    <font>
      <b/>
      <sz val="16"/>
      <color theme="1"/>
      <name val="Aptos Narrow"/>
      <family val="2"/>
      <scheme val="minor"/>
    </font>
    <font>
      <sz val="14"/>
      <color theme="1"/>
      <name val="Aptos Narrow"/>
      <family val="2"/>
      <scheme val="minor"/>
    </font>
    <font>
      <b/>
      <sz val="14"/>
      <name val="Aptos Narrow"/>
      <family val="2"/>
      <scheme val="minor"/>
    </font>
    <font>
      <b/>
      <sz val="18"/>
      <color theme="1"/>
      <name val="Aptos Narrow"/>
      <family val="2"/>
      <scheme val="minor"/>
    </font>
    <font>
      <sz val="18"/>
      <color theme="1"/>
      <name val="Aptos Narrow"/>
      <family val="2"/>
      <scheme val="minor"/>
    </font>
    <font>
      <b/>
      <strike/>
      <sz val="10"/>
      <color theme="1"/>
      <name val="Arial"/>
      <family val="2"/>
    </font>
    <font>
      <b/>
      <sz val="10"/>
      <color theme="1"/>
      <name val="Arial"/>
      <family val="2"/>
    </font>
    <font>
      <b/>
      <sz val="11"/>
      <color theme="1"/>
      <name val="Arial"/>
      <family val="2"/>
    </font>
  </fonts>
  <fills count="13">
    <fill>
      <patternFill patternType="none"/>
    </fill>
    <fill>
      <patternFill patternType="gray125"/>
    </fill>
    <fill>
      <patternFill patternType="solid">
        <fgColor rgb="FFFFF2CC"/>
        <bgColor indexed="64"/>
      </patternFill>
    </fill>
    <fill>
      <patternFill patternType="solid">
        <fgColor rgb="FFFF9900"/>
        <bgColor indexed="64"/>
      </patternFill>
    </fill>
    <fill>
      <patternFill patternType="solid">
        <fgColor rgb="FFFBBC04"/>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E6262"/>
        <bgColor indexed="64"/>
      </patternFill>
    </fill>
    <fill>
      <patternFill patternType="solid">
        <fgColor theme="3" tint="0.89999084444715716"/>
        <bgColor indexed="64"/>
      </patternFill>
    </fill>
    <fill>
      <patternFill patternType="solid">
        <fgColor theme="2" tint="-0.249977111117893"/>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9" fontId="1" fillId="0" borderId="0" applyFont="0" applyFill="0" applyBorder="0" applyAlignment="0" applyProtection="0"/>
  </cellStyleXfs>
  <cellXfs count="125">
    <xf numFmtId="0" fontId="0" fillId="0" borderId="0" xfId="0"/>
    <xf numFmtId="0" fontId="9" fillId="0" borderId="1" xfId="0" applyFont="1" applyBorder="1" applyAlignment="1">
      <alignment vertical="center" wrapText="1"/>
    </xf>
    <xf numFmtId="0" fontId="0" fillId="0" borderId="0" xfId="0" applyAlignment="1">
      <alignment horizontal="center" vertical="center"/>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2" fontId="8" fillId="0" borderId="1" xfId="0" applyNumberFormat="1" applyFont="1" applyBorder="1" applyAlignment="1">
      <alignment horizontal="center" vertical="center" wrapText="1"/>
    </xf>
    <xf numFmtId="2" fontId="0" fillId="0" borderId="0" xfId="0" applyNumberFormat="1" applyAlignment="1">
      <alignment horizontal="center" vertical="center"/>
    </xf>
    <xf numFmtId="0" fontId="2" fillId="0" borderId="0" xfId="0" applyFont="1" applyAlignment="1">
      <alignment horizontal="center" vertical="center"/>
    </xf>
    <xf numFmtId="0" fontId="9" fillId="0" borderId="1" xfId="0" applyFont="1" applyBorder="1" applyAlignment="1">
      <alignment wrapText="1"/>
    </xf>
    <xf numFmtId="0" fontId="3" fillId="3" borderId="1" xfId="0" applyFont="1" applyFill="1" applyBorder="1" applyAlignment="1">
      <alignment horizontal="center" vertical="center" wrapText="1"/>
    </xf>
    <xf numFmtId="14" fontId="10"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2" xfId="0" applyFont="1" applyBorder="1" applyAlignment="1">
      <alignment vertical="center" wrapText="1"/>
    </xf>
    <xf numFmtId="0" fontId="9" fillId="0" borderId="2" xfId="0" applyFont="1" applyBorder="1" applyAlignment="1">
      <alignment wrapText="1"/>
    </xf>
    <xf numFmtId="0" fontId="9" fillId="0" borderId="2" xfId="0" applyFont="1" applyBorder="1" applyAlignment="1">
      <alignment horizontal="center" wrapText="1"/>
    </xf>
    <xf numFmtId="0" fontId="0" fillId="0" borderId="2" xfId="0" applyBorder="1"/>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6" fillId="0" borderId="6" xfId="0" applyFont="1" applyBorder="1" applyAlignment="1">
      <alignment vertical="center" wrapText="1"/>
    </xf>
    <xf numFmtId="0" fontId="3" fillId="4" borderId="7" xfId="0" applyFont="1" applyFill="1" applyBorder="1" applyAlignment="1">
      <alignment horizontal="center" vertical="center" wrapText="1"/>
    </xf>
    <xf numFmtId="0" fontId="6" fillId="0" borderId="8" xfId="0" applyFont="1" applyBorder="1" applyAlignment="1">
      <alignment vertical="center" wrapText="1"/>
    </xf>
    <xf numFmtId="0" fontId="9" fillId="0" borderId="9" xfId="0" applyFont="1" applyBorder="1" applyAlignment="1">
      <alignment wrapText="1"/>
    </xf>
    <xf numFmtId="0" fontId="9" fillId="0" borderId="9" xfId="0" applyFont="1" applyBorder="1" applyAlignment="1">
      <alignment horizontal="center" wrapText="1"/>
    </xf>
    <xf numFmtId="0" fontId="0" fillId="0" borderId="3" xfId="0" applyBorder="1" applyAlignment="1">
      <alignment vertical="center" wrapText="1"/>
    </xf>
    <xf numFmtId="0" fontId="0" fillId="0" borderId="9" xfId="0" applyBorder="1"/>
    <xf numFmtId="0" fontId="0" fillId="0" borderId="10" xfId="0" applyBorder="1" applyAlignment="1">
      <alignment vertical="center" wrapText="1"/>
    </xf>
    <xf numFmtId="0" fontId="2" fillId="5"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0" fillId="0" borderId="2" xfId="0" applyBorder="1" applyAlignment="1">
      <alignment horizontal="center" vertical="center"/>
    </xf>
    <xf numFmtId="2" fontId="0" fillId="0" borderId="2" xfId="0" applyNumberFormat="1" applyBorder="1" applyAlignment="1">
      <alignment horizontal="center" vertical="center"/>
    </xf>
    <xf numFmtId="9" fontId="0" fillId="0" borderId="0" xfId="0" applyNumberFormat="1" applyAlignment="1">
      <alignment horizontal="center" vertical="center"/>
    </xf>
    <xf numFmtId="3" fontId="2" fillId="5" borderId="2" xfId="0" applyNumberFormat="1" applyFont="1" applyFill="1" applyBorder="1" applyAlignment="1">
      <alignment horizontal="center" vertical="center" wrapText="1"/>
    </xf>
    <xf numFmtId="3" fontId="0" fillId="0" borderId="2" xfId="0" applyNumberFormat="1" applyBorder="1" applyAlignment="1">
      <alignment horizontal="center" vertical="center"/>
    </xf>
    <xf numFmtId="3" fontId="0" fillId="0" borderId="0" xfId="0" applyNumberFormat="1" applyAlignment="1">
      <alignment horizontal="center" vertical="center"/>
    </xf>
    <xf numFmtId="0" fontId="14" fillId="0" borderId="0" xfId="0" applyFont="1"/>
    <xf numFmtId="0" fontId="12" fillId="0" borderId="0" xfId="0" applyFont="1" applyAlignment="1">
      <alignment horizontal="center" vertical="center"/>
    </xf>
    <xf numFmtId="9" fontId="2" fillId="0" borderId="2" xfId="0" applyNumberFormat="1" applyFont="1" applyBorder="1" applyAlignment="1">
      <alignment horizontal="center" vertical="center"/>
    </xf>
    <xf numFmtId="164" fontId="2" fillId="5" borderId="2" xfId="1" applyNumberFormat="1" applyFont="1" applyFill="1" applyBorder="1" applyAlignment="1">
      <alignment horizontal="center" vertical="center" wrapText="1"/>
    </xf>
    <xf numFmtId="164" fontId="0" fillId="0" borderId="2" xfId="1" applyNumberFormat="1" applyFont="1" applyBorder="1" applyAlignment="1">
      <alignment horizontal="center" vertical="center"/>
    </xf>
    <xf numFmtId="164" fontId="0" fillId="0" borderId="0" xfId="1" applyNumberFormat="1" applyFont="1" applyAlignment="1">
      <alignment horizontal="center" vertical="center"/>
    </xf>
    <xf numFmtId="14" fontId="5" fillId="0" borderId="1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8" fillId="0" borderId="11" xfId="0" applyFont="1" applyBorder="1" applyAlignment="1">
      <alignment horizontal="center" vertical="center" wrapText="1"/>
    </xf>
    <xf numFmtId="2" fontId="9" fillId="0" borderId="12" xfId="0" applyNumberFormat="1" applyFont="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8"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4" fillId="0" borderId="17" xfId="0" applyFont="1" applyBorder="1" applyAlignment="1">
      <alignment horizontal="center" vertical="center" wrapText="1"/>
    </xf>
    <xf numFmtId="0" fontId="9" fillId="0" borderId="17" xfId="0" applyFont="1" applyBorder="1" applyAlignment="1">
      <alignment horizontal="center" vertical="center" wrapText="1"/>
    </xf>
    <xf numFmtId="2" fontId="8" fillId="0" borderId="17" xfId="0" applyNumberFormat="1" applyFont="1" applyBorder="1" applyAlignment="1">
      <alignment horizontal="center" vertical="center" wrapText="1"/>
    </xf>
    <xf numFmtId="2" fontId="9" fillId="0" borderId="18" xfId="0" applyNumberFormat="1" applyFont="1" applyBorder="1" applyAlignment="1">
      <alignment horizontal="center" vertical="center" wrapText="1"/>
    </xf>
    <xf numFmtId="0" fontId="2" fillId="7" borderId="7" xfId="0" applyFont="1" applyFill="1" applyBorder="1" applyAlignment="1">
      <alignment horizontal="center" vertical="center"/>
    </xf>
    <xf numFmtId="0" fontId="2" fillId="7" borderId="4" xfId="0" applyFont="1" applyFill="1" applyBorder="1" applyAlignment="1">
      <alignment horizontal="center" vertical="center"/>
    </xf>
    <xf numFmtId="9" fontId="2" fillId="7" borderId="5" xfId="1" applyFont="1" applyFill="1" applyBorder="1" applyAlignment="1">
      <alignment horizontal="center" vertical="center"/>
    </xf>
    <xf numFmtId="3" fontId="0" fillId="0" borderId="0" xfId="0" applyNumberFormat="1" applyAlignment="1">
      <alignment horizontal="center"/>
    </xf>
    <xf numFmtId="0" fontId="13" fillId="6" borderId="2" xfId="0" applyFont="1" applyFill="1" applyBorder="1" applyAlignment="1">
      <alignment horizontal="center" vertical="center" wrapText="1"/>
    </xf>
    <xf numFmtId="0" fontId="13" fillId="6" borderId="2" xfId="0" applyFont="1" applyFill="1" applyBorder="1" applyAlignment="1">
      <alignment horizontal="center" vertical="center"/>
    </xf>
    <xf numFmtId="3" fontId="13" fillId="6" borderId="2" xfId="0" applyNumberFormat="1" applyFont="1" applyFill="1" applyBorder="1" applyAlignment="1">
      <alignment horizontal="center" vertical="center"/>
    </xf>
    <xf numFmtId="0" fontId="13" fillId="8" borderId="2" xfId="0" applyFont="1" applyFill="1" applyBorder="1"/>
    <xf numFmtId="3" fontId="13" fillId="8" borderId="2" xfId="0" applyNumberFormat="1" applyFont="1" applyFill="1" applyBorder="1" applyAlignment="1">
      <alignment horizontal="center"/>
    </xf>
    <xf numFmtId="0" fontId="15" fillId="9" borderId="2" xfId="0" applyFont="1" applyFill="1" applyBorder="1"/>
    <xf numFmtId="3" fontId="15" fillId="9" borderId="2" xfId="0" applyNumberFormat="1" applyFont="1" applyFill="1" applyBorder="1" applyAlignment="1">
      <alignment horizontal="center"/>
    </xf>
    <xf numFmtId="0" fontId="16" fillId="10" borderId="2" xfId="0" applyFont="1" applyFill="1" applyBorder="1"/>
    <xf numFmtId="3" fontId="16" fillId="10" borderId="2" xfId="0" applyNumberFormat="1" applyFont="1" applyFill="1" applyBorder="1" applyAlignment="1">
      <alignment horizontal="center"/>
    </xf>
    <xf numFmtId="3" fontId="15" fillId="0" borderId="2" xfId="0" applyNumberFormat="1" applyFont="1" applyBorder="1" applyAlignment="1">
      <alignment horizontal="center" vertical="center"/>
    </xf>
    <xf numFmtId="9" fontId="15" fillId="0" borderId="2" xfId="1" applyFont="1" applyFill="1" applyBorder="1" applyAlignment="1">
      <alignment horizontal="center" vertical="center"/>
    </xf>
    <xf numFmtId="9" fontId="13" fillId="8" borderId="2" xfId="1" applyFont="1" applyFill="1" applyBorder="1" applyAlignment="1">
      <alignment horizontal="center"/>
    </xf>
    <xf numFmtId="15" fontId="0" fillId="0" borderId="0" xfId="0" applyNumberFormat="1" applyAlignment="1">
      <alignment horizontal="center"/>
    </xf>
    <xf numFmtId="9" fontId="0" fillId="0" borderId="0" xfId="1" applyFont="1" applyBorder="1" applyAlignment="1">
      <alignment horizontal="center" vertical="center"/>
    </xf>
    <xf numFmtId="15" fontId="0" fillId="0" borderId="2" xfId="0" applyNumberFormat="1" applyBorder="1" applyAlignment="1">
      <alignment horizontal="center"/>
    </xf>
    <xf numFmtId="9" fontId="0" fillId="0" borderId="2" xfId="1" applyFont="1" applyBorder="1" applyAlignment="1">
      <alignment horizontal="center" vertical="center"/>
    </xf>
    <xf numFmtId="166" fontId="0" fillId="0" borderId="2" xfId="0" applyNumberFormat="1" applyBorder="1" applyAlignment="1">
      <alignment horizontal="center"/>
    </xf>
    <xf numFmtId="166" fontId="0" fillId="0" borderId="2" xfId="0" applyNumberFormat="1" applyBorder="1" applyAlignment="1">
      <alignment horizontal="center" vertical="center"/>
    </xf>
    <xf numFmtId="166" fontId="0" fillId="0" borderId="0" xfId="0" applyNumberFormat="1" applyAlignment="1">
      <alignment horizontal="center" vertical="center"/>
    </xf>
    <xf numFmtId="166" fontId="2" fillId="7" borderId="4" xfId="0" applyNumberFormat="1" applyFont="1" applyFill="1" applyBorder="1" applyAlignment="1">
      <alignment horizontal="center" vertical="center"/>
    </xf>
    <xf numFmtId="14" fontId="8" fillId="0" borderId="11" xfId="0" applyNumberFormat="1" applyFont="1" applyBorder="1" applyAlignment="1">
      <alignment horizontal="center" vertical="center" wrapText="1"/>
    </xf>
    <xf numFmtId="167" fontId="2" fillId="5" borderId="2" xfId="0" applyNumberFormat="1" applyFont="1" applyFill="1" applyBorder="1" applyAlignment="1">
      <alignment horizontal="center" vertical="center" wrapText="1"/>
    </xf>
    <xf numFmtId="167" fontId="2" fillId="0" borderId="2" xfId="0" applyNumberFormat="1" applyFont="1" applyBorder="1" applyAlignment="1">
      <alignment horizontal="center" vertical="center"/>
    </xf>
    <xf numFmtId="167" fontId="0" fillId="0" borderId="0" xfId="0" applyNumberFormat="1" applyAlignment="1">
      <alignment horizontal="center" vertical="center"/>
    </xf>
    <xf numFmtId="167" fontId="0" fillId="0" borderId="2" xfId="0" applyNumberFormat="1" applyBorder="1" applyAlignment="1">
      <alignment horizontal="center" vertical="center"/>
    </xf>
    <xf numFmtId="10" fontId="2" fillId="5" borderId="2" xfId="1" applyNumberFormat="1" applyFont="1" applyFill="1" applyBorder="1" applyAlignment="1">
      <alignment horizontal="center" vertical="center" wrapText="1"/>
    </xf>
    <xf numFmtId="10" fontId="0" fillId="0" borderId="0" xfId="1" applyNumberFormat="1" applyFont="1" applyAlignment="1">
      <alignment horizontal="center" vertical="center"/>
    </xf>
    <xf numFmtId="10" fontId="0" fillId="0" borderId="2" xfId="1" applyNumberFormat="1" applyFont="1" applyBorder="1" applyAlignment="1">
      <alignment horizontal="center" vertical="center"/>
    </xf>
    <xf numFmtId="0" fontId="15" fillId="11" borderId="2" xfId="0" applyFont="1" applyFill="1" applyBorder="1"/>
    <xf numFmtId="0" fontId="17" fillId="11" borderId="2" xfId="0" applyFont="1" applyFill="1" applyBorder="1"/>
    <xf numFmtId="165" fontId="18" fillId="0" borderId="2" xfId="0" applyNumberFormat="1" applyFont="1" applyBorder="1" applyAlignment="1">
      <alignment horizontal="center" vertical="center"/>
    </xf>
    <xf numFmtId="10" fontId="18" fillId="0" borderId="2" xfId="1" applyNumberFormat="1" applyFont="1" applyBorder="1" applyAlignment="1">
      <alignment horizontal="center" vertical="center"/>
    </xf>
    <xf numFmtId="0" fontId="18" fillId="0" borderId="2" xfId="1" applyNumberFormat="1" applyFont="1" applyBorder="1" applyAlignment="1">
      <alignment horizontal="center" vertical="center"/>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9" fillId="0" borderId="0" xfId="0" applyFont="1" applyAlignment="1">
      <alignment vertical="center" wrapText="1"/>
    </xf>
    <xf numFmtId="9" fontId="20" fillId="0" borderId="0" xfId="1" applyFont="1" applyFill="1" applyBorder="1" applyAlignment="1">
      <alignment horizontal="center" vertical="center" wrapText="1"/>
    </xf>
    <xf numFmtId="9" fontId="9" fillId="0" borderId="0" xfId="1" applyFont="1" applyFill="1" applyBorder="1" applyAlignment="1">
      <alignment vertical="center" wrapText="1"/>
    </xf>
    <xf numFmtId="9" fontId="0" fillId="0" borderId="0" xfId="1" applyFont="1" applyBorder="1"/>
    <xf numFmtId="167" fontId="19" fillId="0" borderId="0" xfId="0" applyNumberFormat="1" applyFont="1" applyAlignment="1">
      <alignment horizontal="center" vertical="center" wrapText="1"/>
    </xf>
    <xf numFmtId="167" fontId="0" fillId="0" borderId="0" xfId="0" applyNumberFormat="1"/>
    <xf numFmtId="168" fontId="19" fillId="0" borderId="0" xfId="0" applyNumberFormat="1" applyFont="1" applyAlignment="1">
      <alignment horizontal="center" vertical="center" wrapText="1"/>
    </xf>
    <xf numFmtId="168" fontId="0" fillId="0" borderId="0" xfId="0" applyNumberFormat="1"/>
    <xf numFmtId="10" fontId="19" fillId="0" borderId="0" xfId="1" applyNumberFormat="1" applyFont="1" applyBorder="1" applyAlignment="1">
      <alignment horizontal="center" vertical="center" wrapText="1"/>
    </xf>
    <xf numFmtId="10" fontId="0" fillId="0" borderId="0" xfId="1" applyNumberFormat="1" applyFont="1" applyBorder="1"/>
    <xf numFmtId="0" fontId="19" fillId="0" borderId="2" xfId="0" applyFont="1" applyBorder="1" applyAlignment="1">
      <alignment horizontal="center" vertical="center" wrapText="1"/>
    </xf>
    <xf numFmtId="0" fontId="20" fillId="0" borderId="2" xfId="0" applyFont="1" applyBorder="1" applyAlignment="1">
      <alignment horizontal="center" vertical="center" wrapText="1"/>
    </xf>
    <xf numFmtId="167" fontId="19" fillId="0" borderId="2" xfId="0" applyNumberFormat="1" applyFont="1" applyBorder="1" applyAlignment="1">
      <alignment horizontal="center" vertical="center" wrapText="1"/>
    </xf>
    <xf numFmtId="168" fontId="19" fillId="0" borderId="2" xfId="0" applyNumberFormat="1" applyFont="1" applyBorder="1" applyAlignment="1">
      <alignment horizontal="center" vertical="center" wrapText="1"/>
    </xf>
    <xf numFmtId="10" fontId="19" fillId="0" borderId="2" xfId="1" applyNumberFormat="1" applyFont="1" applyBorder="1" applyAlignment="1">
      <alignment horizontal="center" vertical="center" wrapText="1"/>
    </xf>
    <xf numFmtId="167" fontId="20" fillId="0" borderId="2" xfId="0" applyNumberFormat="1" applyFont="1" applyBorder="1" applyAlignment="1">
      <alignment horizontal="center" vertical="center" wrapText="1"/>
    </xf>
    <xf numFmtId="168" fontId="20" fillId="0" borderId="2" xfId="0" applyNumberFormat="1" applyFont="1" applyBorder="1" applyAlignment="1">
      <alignment horizontal="center" vertical="center" wrapText="1"/>
    </xf>
    <xf numFmtId="10" fontId="20" fillId="0" borderId="2" xfId="1" applyNumberFormat="1" applyFont="1" applyBorder="1" applyAlignment="1">
      <alignment horizontal="center" vertical="center" wrapText="1"/>
    </xf>
    <xf numFmtId="0" fontId="3" fillId="12" borderId="2" xfId="0" applyFont="1" applyFill="1" applyBorder="1" applyAlignment="1">
      <alignment horizontal="center" vertical="center" wrapText="1"/>
    </xf>
    <xf numFmtId="167" fontId="3" fillId="12" borderId="2" xfId="0" applyNumberFormat="1" applyFont="1" applyFill="1" applyBorder="1" applyAlignment="1">
      <alignment horizontal="center" vertical="center" wrapText="1"/>
    </xf>
    <xf numFmtId="168" fontId="3" fillId="12" borderId="2" xfId="0" applyNumberFormat="1" applyFont="1" applyFill="1" applyBorder="1" applyAlignment="1">
      <alignment horizontal="center" vertical="center" wrapText="1"/>
    </xf>
    <xf numFmtId="10" fontId="3" fillId="12" borderId="2" xfId="1" applyNumberFormat="1" applyFont="1" applyFill="1" applyBorder="1" applyAlignment="1">
      <alignment horizontal="center" vertical="center" wrapText="1"/>
    </xf>
    <xf numFmtId="0" fontId="3" fillId="0" borderId="0" xfId="0" applyFont="1" applyAlignment="1">
      <alignment horizontal="center" vertical="center" wrapText="1"/>
    </xf>
    <xf numFmtId="9" fontId="3" fillId="0" borderId="0" xfId="1" applyFont="1" applyFill="1" applyBorder="1" applyAlignment="1">
      <alignment horizontal="center" vertical="center" wrapText="1"/>
    </xf>
    <xf numFmtId="0" fontId="2" fillId="0" borderId="0" xfId="0" applyFont="1"/>
    <xf numFmtId="0" fontId="13" fillId="9" borderId="2" xfId="0" applyFont="1" applyFill="1" applyBorder="1"/>
    <xf numFmtId="3" fontId="13" fillId="9" borderId="2" xfId="0" applyNumberFormat="1" applyFont="1" applyFill="1" applyBorder="1" applyAlignment="1">
      <alignment horizontal="center"/>
    </xf>
    <xf numFmtId="0" fontId="17" fillId="6" borderId="2" xfId="0" applyFont="1" applyFill="1" applyBorder="1" applyAlignment="1">
      <alignment horizontal="center" vertical="center"/>
    </xf>
    <xf numFmtId="167" fontId="2" fillId="5" borderId="2" xfId="0" applyNumberFormat="1" applyFont="1" applyFill="1" applyBorder="1" applyAlignment="1">
      <alignment horizontal="center" vertical="center" wrapText="1"/>
    </xf>
  </cellXfs>
  <cellStyles count="2">
    <cellStyle name="Normal" xfId="0" builtinId="0"/>
    <cellStyle name="Percent" xfId="1" builtinId="5"/>
  </cellStyles>
  <dxfs count="3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09]\ #,##0.0;[$₹-4009]\ \-#,##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09]\ #,##0.0;[$₹-4009]\ \-#,##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Arial"/>
        <family val="2"/>
        <scheme val="none"/>
      </font>
      <numFmt numFmtId="2" formatCode="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Google Sans"/>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2"/>
        <color theme="1"/>
        <name val="Arial"/>
        <family val="2"/>
        <scheme val="none"/>
      </font>
      <fill>
        <patternFill patternType="solid">
          <fgColor indexed="64"/>
          <bgColor rgb="FFFFF2CC"/>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Google Sans"/>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Google Sans"/>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rgb="FFFBBC04"/>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7F3F00"/>
      <color rgb="FF002465"/>
      <color rgb="FF787800"/>
      <color rgb="FFFE6262"/>
      <color rgb="FFFFFFFF"/>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Asset</a:t>
            </a:r>
          </a:p>
        </c:rich>
      </c:tx>
      <c:overlay val="0"/>
      <c:spPr>
        <a:noFill/>
        <a:ln>
          <a:solidFill>
            <a:schemeClr val="tx1">
              <a:lumMod val="50000"/>
              <a:lumOff val="50000"/>
            </a:schemeClr>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IND_HOLDINGS!$I$1</c:f>
              <c:strCache>
                <c:ptCount val="1"/>
                <c:pt idx="0">
                  <c:v>P&amp;L</c:v>
                </c:pt>
              </c:strCache>
            </c:strRef>
          </c:tx>
          <c:spPr>
            <a:solidFill>
              <a:schemeClr val="accent1"/>
            </a:solidFill>
            <a:ln>
              <a:noFill/>
            </a:ln>
            <a:effectLst/>
          </c:spPr>
          <c:invertIfNegative val="0"/>
          <c:cat>
            <c:strRef>
              <c:f>IND_HOLDINGS!$A$2:$A$9</c:f>
              <c:strCache>
                <c:ptCount val="8"/>
                <c:pt idx="0">
                  <c:v>Zerodha Gold ETF</c:v>
                </c:pt>
                <c:pt idx="1">
                  <c:v>Tata Silver Exchange Traded Fund</c:v>
                </c:pt>
                <c:pt idx="2">
                  <c:v>Zerodha Silver ETF</c:v>
                </c:pt>
                <c:pt idx="3">
                  <c:v>Nippon India ETF Gold BeES</c:v>
                </c:pt>
                <c:pt idx="4">
                  <c:v>Nippon India Silver ETF</c:v>
                </c:pt>
                <c:pt idx="5">
                  <c:v>Tata Gold Exchange Traded Fund</c:v>
                </c:pt>
                <c:pt idx="6">
                  <c:v>Suzlon Energy Ltd</c:v>
                </c:pt>
                <c:pt idx="7">
                  <c:v>Indian Overseas Bank</c:v>
                </c:pt>
              </c:strCache>
            </c:strRef>
          </c:cat>
          <c:val>
            <c:numRef>
              <c:f>IND_HOLDINGS!$I$2:$I$9</c:f>
              <c:numCache>
                <c:formatCode>[$₹-449]\ #,##0.0;[$₹-449]\ \-#,##0.0</c:formatCode>
                <c:ptCount val="8"/>
                <c:pt idx="0">
                  <c:v>296.04999999999984</c:v>
                </c:pt>
                <c:pt idx="1">
                  <c:v>358.54</c:v>
                </c:pt>
                <c:pt idx="2">
                  <c:v>298.38</c:v>
                </c:pt>
                <c:pt idx="3">
                  <c:v>10193.379999999997</c:v>
                </c:pt>
                <c:pt idx="4">
                  <c:v>10500.800000000003</c:v>
                </c:pt>
                <c:pt idx="5">
                  <c:v>256.03999999999996</c:v>
                </c:pt>
                <c:pt idx="6">
                  <c:v>-233.48000000000002</c:v>
                </c:pt>
                <c:pt idx="7">
                  <c:v>-12.71999999999997</c:v>
                </c:pt>
              </c:numCache>
            </c:numRef>
          </c:val>
          <c:extLst>
            <c:ext xmlns:c16="http://schemas.microsoft.com/office/drawing/2014/chart" uri="{C3380CC4-5D6E-409C-BE32-E72D297353CC}">
              <c16:uniqueId val="{00000000-405A-4056-9A31-AD4DA5C0E3B1}"/>
            </c:ext>
          </c:extLst>
        </c:ser>
        <c:dLbls>
          <c:showLegendKey val="0"/>
          <c:showVal val="0"/>
          <c:showCatName val="0"/>
          <c:showSerName val="0"/>
          <c:showPercent val="0"/>
          <c:showBubbleSize val="0"/>
        </c:dLbls>
        <c:gapWidth val="219"/>
        <c:overlap val="-27"/>
        <c:axId val="1046819872"/>
        <c:axId val="1046825632"/>
      </c:barChart>
      <c:catAx>
        <c:axId val="104681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25632"/>
        <c:crosses val="autoZero"/>
        <c:auto val="1"/>
        <c:lblAlgn val="ctr"/>
        <c:lblOffset val="100"/>
        <c:noMultiLvlLbl val="0"/>
      </c:catAx>
      <c:valAx>
        <c:axId val="1046825632"/>
        <c:scaling>
          <c:orientation val="minMax"/>
        </c:scaling>
        <c:delete val="0"/>
        <c:axPos val="l"/>
        <c:majorGridlines>
          <c:spPr>
            <a:ln w="9525" cap="flat" cmpd="sng" algn="ctr">
              <a:solidFill>
                <a:schemeClr val="tx1">
                  <a:lumMod val="15000"/>
                  <a:lumOff val="85000"/>
                </a:schemeClr>
              </a:solidFill>
              <a:round/>
            </a:ln>
            <a:effectLst/>
          </c:spPr>
        </c:majorGridlines>
        <c:numFmt formatCode="[$₹-449]\ #,##0.0;[$₹-449]\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1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en-US"/>
              <a:t>Portfolio Allocation</a:t>
            </a:r>
          </a:p>
        </c:rich>
      </c:tx>
      <c:overlay val="0"/>
      <c:spPr>
        <a:noFill/>
        <a:ln>
          <a:solidFill>
            <a:schemeClr val="accent1"/>
          </a:solidFill>
        </a:ln>
        <a:effectLst/>
      </c:spPr>
    </c:title>
    <c:autoTitleDeleted val="0"/>
    <c:plotArea>
      <c:layout>
        <c:manualLayout>
          <c:layoutTarget val="inner"/>
          <c:xMode val="edge"/>
          <c:yMode val="edge"/>
          <c:x val="0.14351759401632597"/>
          <c:y val="0.15689257143114099"/>
          <c:w val="0.40299771684938529"/>
          <c:h val="0.72598466466029343"/>
        </c:manualLayout>
      </c:layout>
      <c:pieChart>
        <c:varyColors val="1"/>
        <c:ser>
          <c:idx val="0"/>
          <c:order val="0"/>
          <c:tx>
            <c:strRef>
              <c:f>IND_HOLDINGS!$G$1</c:f>
              <c:strCache>
                <c:ptCount val="1"/>
                <c:pt idx="0">
                  <c:v>Current Value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363-46E4-B2E3-29347FF71E0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363-46E4-B2E3-29347FF71E0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363-46E4-B2E3-29347FF71E0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363-46E4-B2E3-29347FF71E0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E363-46E4-B2E3-29347FF71E0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E363-46E4-B2E3-29347FF71E0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E363-46E4-B2E3-29347FF71E09}"/>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E363-46E4-B2E3-29347FF71E09}"/>
              </c:ext>
            </c:extLst>
          </c:dPt>
          <c:dLbls>
            <c:dLbl>
              <c:idx val="0"/>
              <c:layout>
                <c:manualLayout>
                  <c:x val="0.26210760428939422"/>
                  <c:y val="3.063645432036835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363-46E4-B2E3-29347FF71E09}"/>
                </c:ext>
              </c:extLst>
            </c:dLbl>
            <c:dLbl>
              <c:idx val="1"/>
              <c:layout>
                <c:manualLayout>
                  <c:x val="6.1236182390230154E-2"/>
                  <c:y val="0.13296248655041293"/>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63-46E4-B2E3-29347FF71E09}"/>
                </c:ext>
              </c:extLst>
            </c:dLbl>
            <c:dLbl>
              <c:idx val="2"/>
              <c:layout>
                <c:manualLayout>
                  <c:x val="-3.210638949351332E-2"/>
                  <c:y val="0.27609132453856705"/>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363-46E4-B2E3-29347FF71E09}"/>
                </c:ext>
              </c:extLst>
            </c:dLbl>
            <c:dLbl>
              <c:idx val="5"/>
              <c:layout>
                <c:manualLayout>
                  <c:x val="0.15463810731473532"/>
                  <c:y val="-0.34956335526820359"/>
                </c:manualLayout>
              </c:layout>
              <c:spPr>
                <a:solidFill>
                  <a:schemeClr val="bg1"/>
                </a:solidFill>
                <a:ln>
                  <a:solidFill>
                    <a:schemeClr val="tx1"/>
                  </a:solidFill>
                </a:ln>
                <a:effectLst/>
              </c:spPr>
              <c:txPr>
                <a:bodyPr rot="0" spcFirstLastPara="1" vertOverflow="overflow" horzOverflow="overflow" vert="horz" wrap="square"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363-46E4-B2E3-29347FF71E09}"/>
                </c:ext>
              </c:extLst>
            </c:dLbl>
            <c:dLbl>
              <c:idx val="6"/>
              <c:layout>
                <c:manualLayout>
                  <c:x val="0.15252913291309161"/>
                  <c:y val="-0.18984783823572396"/>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363-46E4-B2E3-29347FF71E09}"/>
                </c:ext>
              </c:extLst>
            </c:dLbl>
            <c:spPr>
              <a:solidFill>
                <a:schemeClr val="bg1"/>
              </a:solidFill>
              <a:ln>
                <a:solidFill>
                  <a:schemeClr val="tx1"/>
                </a:solidFill>
              </a:ln>
              <a:effectLst/>
            </c:spPr>
            <c:txPr>
              <a:bodyPr rot="0" spcFirstLastPara="1" vertOverflow="overflow" horzOverflow="overflow" vert="horz" wrap="square"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IND_HOLDINGS!$A$2:$A$9</c:f>
              <c:strCache>
                <c:ptCount val="8"/>
                <c:pt idx="0">
                  <c:v>Zerodha Gold ETF</c:v>
                </c:pt>
                <c:pt idx="1">
                  <c:v>Tata Silver Exchange Traded Fund</c:v>
                </c:pt>
                <c:pt idx="2">
                  <c:v>Zerodha Silver ETF</c:v>
                </c:pt>
                <c:pt idx="3">
                  <c:v>Nippon India ETF Gold BeES</c:v>
                </c:pt>
                <c:pt idx="4">
                  <c:v>Nippon India Silver ETF</c:v>
                </c:pt>
                <c:pt idx="5">
                  <c:v>Tata Gold Exchange Traded Fund</c:v>
                </c:pt>
                <c:pt idx="6">
                  <c:v>Suzlon Energy Ltd</c:v>
                </c:pt>
                <c:pt idx="7">
                  <c:v>Indian Overseas Bank</c:v>
                </c:pt>
              </c:strCache>
            </c:strRef>
          </c:cat>
          <c:val>
            <c:numRef>
              <c:f>IND_HOLDINGS!$G$2:$G$9</c:f>
              <c:numCache>
                <c:formatCode>[$₹-449]\ #,##0.0;[$₹-449]\ \-#,##0.0</c:formatCode>
                <c:ptCount val="8"/>
                <c:pt idx="0">
                  <c:v>1061.3399999999999</c:v>
                </c:pt>
                <c:pt idx="1">
                  <c:v>841.83</c:v>
                </c:pt>
                <c:pt idx="2">
                  <c:v>640.79999999999995</c:v>
                </c:pt>
                <c:pt idx="3">
                  <c:v>69672.75</c:v>
                </c:pt>
                <c:pt idx="4">
                  <c:v>90105.02</c:v>
                </c:pt>
                <c:pt idx="5">
                  <c:v>1554</c:v>
                </c:pt>
                <c:pt idx="6">
                  <c:v>27.5</c:v>
                </c:pt>
                <c:pt idx="7">
                  <c:v>268.48</c:v>
                </c:pt>
              </c:numCache>
            </c:numRef>
          </c:val>
          <c:extLst>
            <c:ext xmlns:c16="http://schemas.microsoft.com/office/drawing/2014/chart" uri="{C3380CC4-5D6E-409C-BE32-E72D297353CC}">
              <c16:uniqueId val="{00000010-E363-46E4-B2E3-29347FF71E09}"/>
            </c:ext>
          </c:extLst>
        </c:ser>
        <c:dLbls>
          <c:showLegendKey val="0"/>
          <c:showVal val="0"/>
          <c:showCatName val="1"/>
          <c:showSerName val="0"/>
          <c:showPercent val="1"/>
          <c:showBubbleSize val="0"/>
          <c:showLeaderLines val="1"/>
        </c:dLbls>
        <c:firstSliceAng val="10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ln>
            <a:noFill/>
          </a:ln>
          <a:solidFill>
            <a:schemeClr val="tx2"/>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rPr>
              <a:t>Profit by Asset</a:t>
            </a:r>
          </a:p>
        </c:rich>
      </c:tx>
      <c:layout>
        <c:manualLayout>
          <c:xMode val="edge"/>
          <c:yMode val="edge"/>
          <c:x val="0.34101377952755907"/>
          <c:y val="2.7777777777777776E-2"/>
        </c:manualLayout>
      </c:layout>
      <c:overlay val="0"/>
      <c:spPr>
        <a:noFill/>
        <a:ln>
          <a:solidFill>
            <a:schemeClr val="tx1">
              <a:lumMod val="50000"/>
              <a:lumOff val="50000"/>
            </a:schemeClr>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IND_HOLDINGS!$I$1</c:f>
              <c:strCache>
                <c:ptCount val="1"/>
                <c:pt idx="0">
                  <c:v>P&amp;L</c:v>
                </c:pt>
              </c:strCache>
            </c:strRef>
          </c:tx>
          <c:spPr>
            <a:solidFill>
              <a:schemeClr val="accent1"/>
            </a:solidFill>
            <a:ln>
              <a:noFill/>
            </a:ln>
            <a:effectLst/>
          </c:spPr>
          <c:invertIfNegative val="0"/>
          <c:cat>
            <c:strRef>
              <c:f>IND_HOLDINGS!$A$2:$A$9</c:f>
              <c:strCache>
                <c:ptCount val="8"/>
                <c:pt idx="0">
                  <c:v>Zerodha Gold ETF</c:v>
                </c:pt>
                <c:pt idx="1">
                  <c:v>Tata Silver Exchange Traded Fund</c:v>
                </c:pt>
                <c:pt idx="2">
                  <c:v>Zerodha Silver ETF</c:v>
                </c:pt>
                <c:pt idx="3">
                  <c:v>Nippon India ETF Gold BeES</c:v>
                </c:pt>
                <c:pt idx="4">
                  <c:v>Nippon India Silver ETF</c:v>
                </c:pt>
                <c:pt idx="5">
                  <c:v>Tata Gold Exchange Traded Fund</c:v>
                </c:pt>
                <c:pt idx="6">
                  <c:v>Suzlon Energy Ltd</c:v>
                </c:pt>
                <c:pt idx="7">
                  <c:v>Indian Overseas Bank</c:v>
                </c:pt>
              </c:strCache>
            </c:strRef>
          </c:cat>
          <c:val>
            <c:numRef>
              <c:f>IND_HOLDINGS!$I$2:$I$9</c:f>
              <c:numCache>
                <c:formatCode>[$₹-449]\ #,##0.0;[$₹-449]\ \-#,##0.0</c:formatCode>
                <c:ptCount val="8"/>
                <c:pt idx="0">
                  <c:v>296.04999999999984</c:v>
                </c:pt>
                <c:pt idx="1">
                  <c:v>358.54</c:v>
                </c:pt>
                <c:pt idx="2">
                  <c:v>298.38</c:v>
                </c:pt>
                <c:pt idx="3">
                  <c:v>10193.379999999997</c:v>
                </c:pt>
                <c:pt idx="4">
                  <c:v>10500.800000000003</c:v>
                </c:pt>
                <c:pt idx="5">
                  <c:v>256.03999999999996</c:v>
                </c:pt>
                <c:pt idx="6">
                  <c:v>-233.48000000000002</c:v>
                </c:pt>
                <c:pt idx="7">
                  <c:v>-12.71999999999997</c:v>
                </c:pt>
              </c:numCache>
            </c:numRef>
          </c:val>
          <c:extLst>
            <c:ext xmlns:c16="http://schemas.microsoft.com/office/drawing/2014/chart" uri="{C3380CC4-5D6E-409C-BE32-E72D297353CC}">
              <c16:uniqueId val="{00000000-8425-4ADB-B48F-4B13511634A9}"/>
            </c:ext>
          </c:extLst>
        </c:ser>
        <c:dLbls>
          <c:showLegendKey val="0"/>
          <c:showVal val="0"/>
          <c:showCatName val="0"/>
          <c:showSerName val="0"/>
          <c:showPercent val="0"/>
          <c:showBubbleSize val="0"/>
        </c:dLbls>
        <c:gapWidth val="219"/>
        <c:overlap val="-27"/>
        <c:axId val="1046819872"/>
        <c:axId val="1046825632"/>
      </c:barChart>
      <c:catAx>
        <c:axId val="104681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25632"/>
        <c:crosses val="autoZero"/>
        <c:auto val="1"/>
        <c:lblAlgn val="ctr"/>
        <c:lblOffset val="100"/>
        <c:noMultiLvlLbl val="0"/>
      </c:catAx>
      <c:valAx>
        <c:axId val="1046825632"/>
        <c:scaling>
          <c:orientation val="minMax"/>
        </c:scaling>
        <c:delete val="0"/>
        <c:axPos val="l"/>
        <c:majorGridlines>
          <c:spPr>
            <a:ln w="9525" cap="flat" cmpd="sng" algn="ctr">
              <a:solidFill>
                <a:schemeClr val="tx1">
                  <a:lumMod val="15000"/>
                  <a:lumOff val="85000"/>
                </a:schemeClr>
              </a:solidFill>
              <a:round/>
            </a:ln>
            <a:effectLst/>
          </c:spPr>
        </c:majorGridlines>
        <c:numFmt formatCode="[$₹-449]\ #,##0.0;[$₹-449]\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1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Invested vs Portfolio Value </a:t>
            </a:r>
            <a:endParaRPr lang="en-US"/>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rgbClr val="00B0F0"/>
            </a:solidFill>
            <a:ln>
              <a:noFill/>
            </a:ln>
            <a:effectLst/>
          </c:spPr>
          <c:invertIfNegative val="0"/>
          <c:dPt>
            <c:idx val="0"/>
            <c:invertIfNegative val="0"/>
            <c:bubble3D val="0"/>
            <c:spPr>
              <a:solidFill>
                <a:srgbClr val="002060"/>
              </a:solidFill>
              <a:ln>
                <a:solidFill>
                  <a:srgbClr val="7030A0"/>
                </a:solidFill>
              </a:ln>
              <a:effectLst/>
            </c:spPr>
            <c:extLst>
              <c:ext xmlns:c16="http://schemas.microsoft.com/office/drawing/2014/chart" uri="{C3380CC4-5D6E-409C-BE32-E72D297353CC}">
                <c16:uniqueId val="{00000001-45BB-4B80-8C6C-BA176D4E065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45BB-4B80-8C6C-BA176D4E0659}"/>
              </c:ext>
            </c:extLst>
          </c:dPt>
          <c:cat>
            <c:strRef>
              <c:f>SUMMARY!$A$3:$A$4</c:f>
              <c:strCache>
                <c:ptCount val="2"/>
                <c:pt idx="0">
                  <c:v>Total Invested</c:v>
                </c:pt>
                <c:pt idx="1">
                  <c:v>Current Value</c:v>
                </c:pt>
              </c:strCache>
            </c:strRef>
          </c:cat>
          <c:val>
            <c:numRef>
              <c:f>SUMMARY!$B$3:$B$4</c:f>
              <c:numCache>
                <c:formatCode>[$₹-4009]\ #,##0</c:formatCode>
                <c:ptCount val="2"/>
                <c:pt idx="0">
                  <c:v>142514.73000000001</c:v>
                </c:pt>
                <c:pt idx="1">
                  <c:v>164171.72</c:v>
                </c:pt>
              </c:numCache>
            </c:numRef>
          </c:val>
          <c:extLst>
            <c:ext xmlns:c16="http://schemas.microsoft.com/office/drawing/2014/chart" uri="{C3380CC4-5D6E-409C-BE32-E72D297353CC}">
              <c16:uniqueId val="{00000000-45BB-4B80-8C6C-BA176D4E0659}"/>
            </c:ext>
          </c:extLst>
        </c:ser>
        <c:dLbls>
          <c:showLegendKey val="0"/>
          <c:showVal val="0"/>
          <c:showCatName val="0"/>
          <c:showSerName val="0"/>
          <c:showPercent val="0"/>
          <c:showBubbleSize val="0"/>
        </c:dLbls>
        <c:gapWidth val="150"/>
        <c:overlap val="100"/>
        <c:axId val="1046843392"/>
        <c:axId val="1046853952"/>
      </c:barChart>
      <c:catAx>
        <c:axId val="104684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53952"/>
        <c:crosses val="autoZero"/>
        <c:auto val="1"/>
        <c:lblAlgn val="ctr"/>
        <c:lblOffset val="100"/>
        <c:noMultiLvlLbl val="0"/>
      </c:catAx>
      <c:valAx>
        <c:axId val="1046853952"/>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4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sz="1400" b="1" i="0" u="none" strike="noStrike" baseline="0">
                <a:solidFill>
                  <a:srgbClr val="00B050"/>
                </a:solidFill>
              </a:rPr>
              <a:t>Portfolio Growth vs Invested Capital</a:t>
            </a:r>
            <a:endParaRPr lang="en-US" b="1">
              <a:solidFill>
                <a:srgbClr val="00B050"/>
              </a:solidFill>
            </a:endParaRPr>
          </a:p>
        </c:rich>
      </c:tx>
      <c:overlay val="0"/>
      <c:spPr>
        <a:noFill/>
        <a:ln>
          <a:solidFill>
            <a:schemeClr val="tx1"/>
          </a:solidFill>
        </a:ln>
        <a:effectLst>
          <a:glow rad="101600">
            <a:schemeClr val="bg2">
              <a:lumMod val="90000"/>
              <a:alpha val="40000"/>
            </a:schemeClr>
          </a:glow>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lotArea>
      <c:layout/>
      <c:lineChart>
        <c:grouping val="standard"/>
        <c:varyColors val="0"/>
        <c:ser>
          <c:idx val="0"/>
          <c:order val="0"/>
          <c:tx>
            <c:strRef>
              <c:f>PORT_HISTORY!$B$1</c:f>
              <c:strCache>
                <c:ptCount val="1"/>
                <c:pt idx="0">
                  <c:v>Invested</c:v>
                </c:pt>
              </c:strCache>
            </c:strRef>
          </c:tx>
          <c:spPr>
            <a:ln w="28575" cap="rnd">
              <a:solidFill>
                <a:schemeClr val="bg2">
                  <a:lumMod val="75000"/>
                </a:schemeClr>
              </a:solidFill>
              <a:round/>
            </a:ln>
            <a:effectLst/>
          </c:spPr>
          <c:marker>
            <c:symbol val="circle"/>
            <c:size val="5"/>
            <c:spPr>
              <a:solidFill>
                <a:schemeClr val="bg2">
                  <a:lumMod val="90000"/>
                </a:schemeClr>
              </a:solidFill>
              <a:ln w="9525">
                <a:solidFill>
                  <a:schemeClr val="accent1"/>
                </a:solidFill>
              </a:ln>
              <a:effectLst/>
            </c:spPr>
          </c:marker>
          <c:cat>
            <c:numRef>
              <c:f>PORT_HISTORY!$A$2:$A$12</c:f>
              <c:numCache>
                <c:formatCode>d\-mmm\-yy</c:formatCode>
                <c:ptCount val="11"/>
                <c:pt idx="0">
                  <c:v>45902</c:v>
                </c:pt>
                <c:pt idx="1">
                  <c:v>45923</c:v>
                </c:pt>
                <c:pt idx="2">
                  <c:v>45976</c:v>
                </c:pt>
                <c:pt idx="3">
                  <c:v>46003</c:v>
                </c:pt>
                <c:pt idx="4">
                  <c:v>46005</c:v>
                </c:pt>
                <c:pt idx="5">
                  <c:v>46008</c:v>
                </c:pt>
                <c:pt idx="6">
                  <c:v>46020</c:v>
                </c:pt>
                <c:pt idx="7">
                  <c:v>46037</c:v>
                </c:pt>
                <c:pt idx="8">
                  <c:v>46054</c:v>
                </c:pt>
                <c:pt idx="9">
                  <c:v>46073</c:v>
                </c:pt>
                <c:pt idx="10">
                  <c:v>46088</c:v>
                </c:pt>
              </c:numCache>
            </c:numRef>
          </c:cat>
          <c:val>
            <c:numRef>
              <c:f>PORT_HISTORY!$B$2:$B$12</c:f>
              <c:numCache>
                <c:formatCode>[$₹-4009]\ #,##0.0;[$₹-4009]\ \-#,##0.0</c:formatCode>
                <c:ptCount val="11"/>
                <c:pt idx="0">
                  <c:v>83</c:v>
                </c:pt>
                <c:pt idx="1">
                  <c:v>1073</c:v>
                </c:pt>
                <c:pt idx="2">
                  <c:v>1456</c:v>
                </c:pt>
                <c:pt idx="3">
                  <c:v>1291</c:v>
                </c:pt>
                <c:pt idx="4">
                  <c:v>21958</c:v>
                </c:pt>
                <c:pt idx="5">
                  <c:v>22697</c:v>
                </c:pt>
                <c:pt idx="6">
                  <c:v>142515</c:v>
                </c:pt>
                <c:pt idx="7">
                  <c:v>142515</c:v>
                </c:pt>
                <c:pt idx="8">
                  <c:v>142515</c:v>
                </c:pt>
                <c:pt idx="9">
                  <c:v>142515</c:v>
                </c:pt>
                <c:pt idx="10">
                  <c:v>142515</c:v>
                </c:pt>
              </c:numCache>
            </c:numRef>
          </c:val>
          <c:smooth val="0"/>
          <c:extLst>
            <c:ext xmlns:c16="http://schemas.microsoft.com/office/drawing/2014/chart" uri="{C3380CC4-5D6E-409C-BE32-E72D297353CC}">
              <c16:uniqueId val="{00000000-3E70-4918-A7F9-FC8E333B8ACE}"/>
            </c:ext>
          </c:extLst>
        </c:ser>
        <c:ser>
          <c:idx val="1"/>
          <c:order val="1"/>
          <c:tx>
            <c:strRef>
              <c:f>PORT_HISTORY!$C$1</c:f>
              <c:strCache>
                <c:ptCount val="1"/>
                <c:pt idx="0">
                  <c:v>Portfolio Value</c:v>
                </c:pt>
              </c:strCache>
            </c:strRef>
          </c:tx>
          <c:spPr>
            <a:ln w="28575" cap="rnd">
              <a:solidFill>
                <a:schemeClr val="accent6">
                  <a:lumMod val="75000"/>
                </a:schemeClr>
              </a:solidFill>
              <a:round/>
            </a:ln>
            <a:effectLst/>
          </c:spPr>
          <c:marker>
            <c:symbol val="circle"/>
            <c:size val="5"/>
            <c:spPr>
              <a:solidFill>
                <a:schemeClr val="accent2"/>
              </a:solidFill>
              <a:ln w="9525">
                <a:solidFill>
                  <a:schemeClr val="accent2"/>
                </a:solidFill>
              </a:ln>
              <a:effectLst/>
            </c:spPr>
          </c:marker>
          <c:cat>
            <c:numRef>
              <c:f>PORT_HISTORY!$A$2:$A$12</c:f>
              <c:numCache>
                <c:formatCode>d\-mmm\-yy</c:formatCode>
                <c:ptCount val="11"/>
                <c:pt idx="0">
                  <c:v>45902</c:v>
                </c:pt>
                <c:pt idx="1">
                  <c:v>45923</c:v>
                </c:pt>
                <c:pt idx="2">
                  <c:v>45976</c:v>
                </c:pt>
                <c:pt idx="3">
                  <c:v>46003</c:v>
                </c:pt>
                <c:pt idx="4">
                  <c:v>46005</c:v>
                </c:pt>
                <c:pt idx="5">
                  <c:v>46008</c:v>
                </c:pt>
                <c:pt idx="6">
                  <c:v>46020</c:v>
                </c:pt>
                <c:pt idx="7">
                  <c:v>46037</c:v>
                </c:pt>
                <c:pt idx="8">
                  <c:v>46054</c:v>
                </c:pt>
                <c:pt idx="9">
                  <c:v>46073</c:v>
                </c:pt>
                <c:pt idx="10">
                  <c:v>46088</c:v>
                </c:pt>
              </c:numCache>
            </c:numRef>
          </c:cat>
          <c:val>
            <c:numRef>
              <c:f>PORT_HISTORY!$C$2:$C$12</c:f>
              <c:numCache>
                <c:formatCode>[$₹-4009]\ #,##0.0;[$₹-4009]\ \-#,##0.0</c:formatCode>
                <c:ptCount val="11"/>
                <c:pt idx="0">
                  <c:v>83</c:v>
                </c:pt>
                <c:pt idx="1">
                  <c:v>1090</c:v>
                </c:pt>
                <c:pt idx="2">
                  <c:v>1500</c:v>
                </c:pt>
                <c:pt idx="3">
                  <c:v>1700</c:v>
                </c:pt>
                <c:pt idx="4">
                  <c:v>23000</c:v>
                </c:pt>
                <c:pt idx="5">
                  <c:v>24000</c:v>
                </c:pt>
                <c:pt idx="6">
                  <c:v>145000</c:v>
                </c:pt>
                <c:pt idx="7">
                  <c:v>150500</c:v>
                </c:pt>
                <c:pt idx="8">
                  <c:v>154800</c:v>
                </c:pt>
                <c:pt idx="9">
                  <c:v>158200</c:v>
                </c:pt>
                <c:pt idx="10">
                  <c:v>161355</c:v>
                </c:pt>
              </c:numCache>
            </c:numRef>
          </c:val>
          <c:smooth val="0"/>
          <c:extLst>
            <c:ext xmlns:c16="http://schemas.microsoft.com/office/drawing/2014/chart" uri="{C3380CC4-5D6E-409C-BE32-E72D297353CC}">
              <c16:uniqueId val="{00000001-3E70-4918-A7F9-FC8E333B8ACE}"/>
            </c:ext>
          </c:extLst>
        </c:ser>
        <c:dLbls>
          <c:showLegendKey val="0"/>
          <c:showVal val="0"/>
          <c:showCatName val="0"/>
          <c:showSerName val="0"/>
          <c:showPercent val="0"/>
          <c:showBubbleSize val="0"/>
        </c:dLbls>
        <c:marker val="1"/>
        <c:smooth val="0"/>
        <c:axId val="1899004080"/>
        <c:axId val="1899006960"/>
        <c:extLst>
          <c:ext xmlns:c15="http://schemas.microsoft.com/office/drawing/2012/chart" uri="{02D57815-91ED-43cb-92C2-25804820EDAC}">
            <c15:filteredLineSeries>
              <c15:ser>
                <c:idx val="2"/>
                <c:order val="2"/>
                <c:tx>
                  <c:strRef>
                    <c:extLst>
                      <c:ext uri="{02D57815-91ED-43cb-92C2-25804820EDAC}">
                        <c15:formulaRef>
                          <c15:sqref>PORT_HISTORY!$D$1</c15:sqref>
                        </c15:formulaRef>
                      </c:ext>
                    </c:extLst>
                    <c:strCache>
                      <c:ptCount val="1"/>
                      <c:pt idx="0">
                        <c:v>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PORT_HISTORY!$A$2:$A$12</c15:sqref>
                        </c15:formulaRef>
                      </c:ext>
                    </c:extLst>
                    <c:numCache>
                      <c:formatCode>d\-mmm\-yy</c:formatCode>
                      <c:ptCount val="11"/>
                      <c:pt idx="0">
                        <c:v>45902</c:v>
                      </c:pt>
                      <c:pt idx="1">
                        <c:v>45923</c:v>
                      </c:pt>
                      <c:pt idx="2">
                        <c:v>45976</c:v>
                      </c:pt>
                      <c:pt idx="3">
                        <c:v>46003</c:v>
                      </c:pt>
                      <c:pt idx="4">
                        <c:v>46005</c:v>
                      </c:pt>
                      <c:pt idx="5">
                        <c:v>46008</c:v>
                      </c:pt>
                      <c:pt idx="6">
                        <c:v>46020</c:v>
                      </c:pt>
                      <c:pt idx="7">
                        <c:v>46037</c:v>
                      </c:pt>
                      <c:pt idx="8">
                        <c:v>46054</c:v>
                      </c:pt>
                      <c:pt idx="9">
                        <c:v>46073</c:v>
                      </c:pt>
                      <c:pt idx="10">
                        <c:v>46088</c:v>
                      </c:pt>
                    </c:numCache>
                  </c:numRef>
                </c:cat>
                <c:val>
                  <c:numRef>
                    <c:extLst>
                      <c:ext uri="{02D57815-91ED-43cb-92C2-25804820EDAC}">
                        <c15:formulaRef>
                          <c15:sqref>PORT_HISTORY!$D$2:$D$12</c15:sqref>
                        </c15:formulaRef>
                      </c:ext>
                    </c:extLst>
                    <c:numCache>
                      <c:formatCode>#,##0</c:formatCode>
                      <c:ptCount val="11"/>
                      <c:pt idx="0">
                        <c:v>0</c:v>
                      </c:pt>
                      <c:pt idx="1">
                        <c:v>17</c:v>
                      </c:pt>
                      <c:pt idx="2">
                        <c:v>44</c:v>
                      </c:pt>
                      <c:pt idx="3">
                        <c:v>409</c:v>
                      </c:pt>
                      <c:pt idx="4">
                        <c:v>1042</c:v>
                      </c:pt>
                      <c:pt idx="5">
                        <c:v>1303</c:v>
                      </c:pt>
                      <c:pt idx="6">
                        <c:v>2485</c:v>
                      </c:pt>
                      <c:pt idx="7">
                        <c:v>7985</c:v>
                      </c:pt>
                      <c:pt idx="8">
                        <c:v>12285</c:v>
                      </c:pt>
                      <c:pt idx="9">
                        <c:v>15685</c:v>
                      </c:pt>
                      <c:pt idx="10">
                        <c:v>18840</c:v>
                      </c:pt>
                    </c:numCache>
                  </c:numRef>
                </c:val>
                <c:smooth val="0"/>
                <c:extLst>
                  <c:ext xmlns:c16="http://schemas.microsoft.com/office/drawing/2014/chart" uri="{C3380CC4-5D6E-409C-BE32-E72D297353CC}">
                    <c16:uniqueId val="{00000002-3E70-4918-A7F9-FC8E333B8ACE}"/>
                  </c:ext>
                </c:extLst>
              </c15:ser>
            </c15:filteredLineSeries>
            <c15:filteredLineSeries>
              <c15:ser>
                <c:idx val="3"/>
                <c:order val="3"/>
                <c:tx>
                  <c:strRef>
                    <c:extLst>
                      <c:ext xmlns:c15="http://schemas.microsoft.com/office/drawing/2012/chart" uri="{02D57815-91ED-43cb-92C2-25804820EDAC}">
                        <c15:formulaRef>
                          <c15:sqref>PORT_HISTORY!$E$1</c15:sqref>
                        </c15:formulaRef>
                      </c:ext>
                    </c:extLst>
                    <c:strCache>
                      <c:ptCount val="1"/>
                      <c:pt idx="0">
                        <c:v>Return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c:ext xmlns:c15="http://schemas.microsoft.com/office/drawing/2012/chart" uri="{02D57815-91ED-43cb-92C2-25804820EDAC}">
                        <c15:formulaRef>
                          <c15:sqref>PORT_HISTORY!$A$2:$A$12</c15:sqref>
                        </c15:formulaRef>
                      </c:ext>
                    </c:extLst>
                    <c:numCache>
                      <c:formatCode>d\-mmm\-yy</c:formatCode>
                      <c:ptCount val="11"/>
                      <c:pt idx="0">
                        <c:v>45902</c:v>
                      </c:pt>
                      <c:pt idx="1">
                        <c:v>45923</c:v>
                      </c:pt>
                      <c:pt idx="2">
                        <c:v>45976</c:v>
                      </c:pt>
                      <c:pt idx="3">
                        <c:v>46003</c:v>
                      </c:pt>
                      <c:pt idx="4">
                        <c:v>46005</c:v>
                      </c:pt>
                      <c:pt idx="5">
                        <c:v>46008</c:v>
                      </c:pt>
                      <c:pt idx="6">
                        <c:v>46020</c:v>
                      </c:pt>
                      <c:pt idx="7">
                        <c:v>46037</c:v>
                      </c:pt>
                      <c:pt idx="8">
                        <c:v>46054</c:v>
                      </c:pt>
                      <c:pt idx="9">
                        <c:v>46073</c:v>
                      </c:pt>
                      <c:pt idx="10">
                        <c:v>46088</c:v>
                      </c:pt>
                    </c:numCache>
                  </c:numRef>
                </c:cat>
                <c:val>
                  <c:numRef>
                    <c:extLst>
                      <c:ext xmlns:c15="http://schemas.microsoft.com/office/drawing/2012/chart" uri="{02D57815-91ED-43cb-92C2-25804820EDAC}">
                        <c15:formulaRef>
                          <c15:sqref>PORT_HISTORY!$E$2:$E$12</c15:sqref>
                        </c15:formulaRef>
                      </c:ext>
                    </c:extLst>
                    <c:numCache>
                      <c:formatCode>0%</c:formatCode>
                      <c:ptCount val="11"/>
                      <c:pt idx="0">
                        <c:v>0</c:v>
                      </c:pt>
                      <c:pt idx="1">
                        <c:v>1.5843429636533086E-2</c:v>
                      </c:pt>
                      <c:pt idx="2">
                        <c:v>3.021978021978022E-2</c:v>
                      </c:pt>
                      <c:pt idx="3">
                        <c:v>0.31680867544539115</c:v>
                      </c:pt>
                      <c:pt idx="4">
                        <c:v>4.7454230804262684E-2</c:v>
                      </c:pt>
                      <c:pt idx="5">
                        <c:v>5.740846807948187E-2</c:v>
                      </c:pt>
                      <c:pt idx="6">
                        <c:v>1.7436761042697261E-2</c:v>
                      </c:pt>
                      <c:pt idx="7">
                        <c:v>5.6029189909834055E-2</c:v>
                      </c:pt>
                      <c:pt idx="8">
                        <c:v>8.6201452478686449E-2</c:v>
                      </c:pt>
                      <c:pt idx="9">
                        <c:v>0.11005859032382556</c:v>
                      </c:pt>
                      <c:pt idx="10">
                        <c:v>0.13219661088306495</c:v>
                      </c:pt>
                    </c:numCache>
                  </c:numRef>
                </c:val>
                <c:smooth val="0"/>
                <c:extLst xmlns:c15="http://schemas.microsoft.com/office/drawing/2012/chart">
                  <c:ext xmlns:c16="http://schemas.microsoft.com/office/drawing/2014/chart" uri="{C3380CC4-5D6E-409C-BE32-E72D297353CC}">
                    <c16:uniqueId val="{00000003-3E70-4918-A7F9-FC8E333B8ACE}"/>
                  </c:ext>
                </c:extLst>
              </c15:ser>
            </c15:filteredLineSeries>
          </c:ext>
        </c:extLst>
      </c:lineChart>
      <c:dateAx>
        <c:axId val="189900408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99006960"/>
        <c:crosses val="autoZero"/>
        <c:auto val="1"/>
        <c:lblOffset val="100"/>
        <c:baseTimeUnit val="days"/>
      </c:dateAx>
      <c:valAx>
        <c:axId val="1899006960"/>
        <c:scaling>
          <c:orientation val="minMax"/>
        </c:scaling>
        <c:delete val="0"/>
        <c:axPos val="l"/>
        <c:majorGridlines>
          <c:spPr>
            <a:ln w="9525" cap="flat" cmpd="sng" algn="ctr">
              <a:solidFill>
                <a:schemeClr val="tx1">
                  <a:lumMod val="15000"/>
                  <a:lumOff val="85000"/>
                </a:schemeClr>
              </a:solidFill>
              <a:round/>
            </a:ln>
            <a:effectLst/>
          </c:spPr>
        </c:majorGridlines>
        <c:numFmt formatCode="[$₹-4009]\ #,##0.0;[$₹-4009]\ \-#,##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99004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84150" h="120650"/>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solidFill>
            <a:schemeClr val="accent3">
              <a:lumMod val="75000"/>
            </a:schemeClr>
          </a:solidFill>
        </a:ln>
        <a:effectLst/>
      </c:spPr>
      <c:txPr>
        <a:bodyPr rot="0" spcFirstLastPara="1" vertOverflow="ellipsis" vert="horz" wrap="square" anchor="ctr" anchorCtr="1"/>
        <a:lstStyle/>
        <a:p>
          <a:pPr>
            <a:defRPr sz="1440" b="1" i="0" u="none" strike="noStrike" kern="1200" cap="all" spc="0" baseline="0">
              <a:solidFill>
                <a:schemeClr val="accent2">
                  <a:lumMod val="75000"/>
                </a:schemeClr>
              </a:solidFill>
              <a:latin typeface="+mn-lt"/>
              <a:ea typeface="+mn-ea"/>
              <a:cs typeface="+mn-cs"/>
            </a:defRPr>
          </a:pPr>
          <a:endParaRPr lang="en-US"/>
        </a:p>
      </c:txPr>
    </c:title>
    <c:autoTitleDeleted val="0"/>
    <c:plotArea>
      <c:layout/>
      <c:lineChart>
        <c:grouping val="standard"/>
        <c:varyColors val="0"/>
        <c:ser>
          <c:idx val="0"/>
          <c:order val="0"/>
          <c:tx>
            <c:strRef>
              <c:f>PORT_HISTORY!$E$1</c:f>
              <c:strCache>
                <c:ptCount val="1"/>
                <c:pt idx="0">
                  <c:v>Return %</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PORT_HISTORY!$A$2:$A$12</c:f>
              <c:numCache>
                <c:formatCode>d\-mmm\-yy</c:formatCode>
                <c:ptCount val="11"/>
                <c:pt idx="0">
                  <c:v>45902</c:v>
                </c:pt>
                <c:pt idx="1">
                  <c:v>45923</c:v>
                </c:pt>
                <c:pt idx="2">
                  <c:v>45976</c:v>
                </c:pt>
                <c:pt idx="3">
                  <c:v>46003</c:v>
                </c:pt>
                <c:pt idx="4">
                  <c:v>46005</c:v>
                </c:pt>
                <c:pt idx="5">
                  <c:v>46008</c:v>
                </c:pt>
                <c:pt idx="6">
                  <c:v>46020</c:v>
                </c:pt>
                <c:pt idx="7">
                  <c:v>46037</c:v>
                </c:pt>
                <c:pt idx="8">
                  <c:v>46054</c:v>
                </c:pt>
                <c:pt idx="9">
                  <c:v>46073</c:v>
                </c:pt>
                <c:pt idx="10">
                  <c:v>46088</c:v>
                </c:pt>
              </c:numCache>
            </c:numRef>
          </c:cat>
          <c:val>
            <c:numRef>
              <c:f>PORT_HISTORY!$E$2:$E$12</c:f>
              <c:numCache>
                <c:formatCode>0%</c:formatCode>
                <c:ptCount val="11"/>
                <c:pt idx="0">
                  <c:v>0</c:v>
                </c:pt>
                <c:pt idx="1">
                  <c:v>1.5843429636533086E-2</c:v>
                </c:pt>
                <c:pt idx="2">
                  <c:v>3.021978021978022E-2</c:v>
                </c:pt>
                <c:pt idx="3">
                  <c:v>0.31680867544539115</c:v>
                </c:pt>
                <c:pt idx="4">
                  <c:v>4.7454230804262684E-2</c:v>
                </c:pt>
                <c:pt idx="5">
                  <c:v>5.740846807948187E-2</c:v>
                </c:pt>
                <c:pt idx="6">
                  <c:v>1.7436761042697261E-2</c:v>
                </c:pt>
                <c:pt idx="7">
                  <c:v>5.6029189909834055E-2</c:v>
                </c:pt>
                <c:pt idx="8">
                  <c:v>8.6201452478686449E-2</c:v>
                </c:pt>
                <c:pt idx="9">
                  <c:v>0.11005859032382556</c:v>
                </c:pt>
                <c:pt idx="10">
                  <c:v>0.13219661088306495</c:v>
                </c:pt>
              </c:numCache>
            </c:numRef>
          </c:val>
          <c:smooth val="1"/>
          <c:extLst>
            <c:ext xmlns:c16="http://schemas.microsoft.com/office/drawing/2014/chart" uri="{C3380CC4-5D6E-409C-BE32-E72D297353CC}">
              <c16:uniqueId val="{00000000-9B5E-4C00-94F6-78AD47559E11}"/>
            </c:ext>
          </c:extLst>
        </c:ser>
        <c:dLbls>
          <c:dLblPos val="ctr"/>
          <c:showLegendKey val="0"/>
          <c:showVal val="1"/>
          <c:showCatName val="0"/>
          <c:showSerName val="0"/>
          <c:showPercent val="0"/>
          <c:showBubbleSize val="0"/>
        </c:dLbls>
        <c:marker val="1"/>
        <c:smooth val="0"/>
        <c:axId val="1046795872"/>
        <c:axId val="1046798272"/>
      </c:lineChart>
      <c:dateAx>
        <c:axId val="1046795872"/>
        <c:scaling>
          <c:orientation val="minMax"/>
        </c:scaling>
        <c:delete val="0"/>
        <c:axPos val="b"/>
        <c:numFmt formatCode="d\-mmm\-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046798272"/>
        <c:crosses val="autoZero"/>
        <c:auto val="1"/>
        <c:lblOffset val="100"/>
        <c:baseTimeUnit val="days"/>
      </c:dateAx>
      <c:valAx>
        <c:axId val="1046798272"/>
        <c:scaling>
          <c:orientation val="minMax"/>
        </c:scaling>
        <c:delete val="1"/>
        <c:axPos val="l"/>
        <c:numFmt formatCode="0%" sourceLinked="1"/>
        <c:majorTickMark val="none"/>
        <c:minorTickMark val="none"/>
        <c:tickLblPos val="nextTo"/>
        <c:crossAx val="104679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scene3d>
      <a:camera prst="orthographicFront"/>
      <a:lightRig rig="threePt" dir="t"/>
    </a:scene3d>
    <a:sp3d>
      <a:bevelT w="120650"/>
    </a:sp3d>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accent2"/>
                </a:solidFill>
              </a:rPr>
              <a:t>Portfolio</a:t>
            </a:r>
            <a:r>
              <a:rPr lang="en-US"/>
              <a:t> </a:t>
            </a:r>
            <a:r>
              <a:rPr lang="en-US" b="1">
                <a:solidFill>
                  <a:schemeClr val="accent2"/>
                </a:solidFill>
              </a:rPr>
              <a:t>Value</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9.3096892978835222E-2"/>
          <c:y val="0.11668232954406657"/>
          <c:w val="0.96035786884243413"/>
          <c:h val="0.75116896796007537"/>
        </c:manualLayout>
      </c:layout>
      <c:lineChart>
        <c:grouping val="stacked"/>
        <c:varyColors val="0"/>
        <c:ser>
          <c:idx val="0"/>
          <c:order val="0"/>
          <c:tx>
            <c:strRef>
              <c:f>PORT_HISTORY!$C$1</c:f>
              <c:strCache>
                <c:ptCount val="1"/>
                <c:pt idx="0">
                  <c:v>Portfolio Value</c:v>
                </c:pt>
              </c:strCache>
            </c:strRef>
          </c:tx>
          <c:spPr>
            <a:ln w="22225" cap="rnd" cmpd="sng" algn="ctr">
              <a:solidFill>
                <a:schemeClr val="accent1"/>
              </a:solidFill>
              <a:round/>
            </a:ln>
            <a:effectLst/>
          </c:spPr>
          <c:marker>
            <c:symbol val="none"/>
          </c:marker>
          <c:dLbls>
            <c:dLbl>
              <c:idx val="3"/>
              <c:layout>
                <c:manualLayout>
                  <c:x val="1.1271174347497711E-3"/>
                  <c:y val="-1.6728430396749999E-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E7-4F54-8A0E-11127B6B91AA}"/>
                </c:ext>
              </c:extLst>
            </c:dLbl>
            <c:dLbl>
              <c:idx val="4"/>
              <c:layout>
                <c:manualLayout>
                  <c:x val="-0.11606135383565887"/>
                  <c:y val="-1.8249407612733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E7-4F54-8A0E-11127B6B91AA}"/>
                </c:ext>
              </c:extLst>
            </c:dLbl>
            <c:dLbl>
              <c:idx val="5"/>
              <c:layout>
                <c:manualLayout>
                  <c:x val="1.4776710045002557E-2"/>
                  <c:y val="-1.36870557095499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E7-4F54-8A0E-11127B6B91AA}"/>
                </c:ext>
              </c:extLst>
            </c:dLbl>
            <c:dLbl>
              <c:idx val="6"/>
              <c:layout>
                <c:manualLayout>
                  <c:x val="-0.10594792511407268"/>
                  <c:y val="-5.4748222838199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E7-4F54-8A0E-11127B6B91AA}"/>
                </c:ext>
              </c:extLst>
            </c:dLbl>
            <c:dLbl>
              <c:idx val="7"/>
              <c:layout>
                <c:manualLayout>
                  <c:x val="-8.4730941782073466E-2"/>
                  <c:y val="-5.4748222838199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E7-4F54-8A0E-11127B6B91AA}"/>
                </c:ext>
              </c:extLst>
            </c:dLbl>
            <c:dLbl>
              <c:idx val="8"/>
              <c:layout>
                <c:manualLayout>
                  <c:x val="-6.3513958450074431E-2"/>
                  <c:y val="-5.4748222838199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7-4F54-8A0E-11127B6B91AA}"/>
                </c:ext>
              </c:extLst>
            </c:dLbl>
            <c:dLbl>
              <c:idx val="9"/>
              <c:layout>
                <c:manualLayout>
                  <c:x val="-2.4917843357685196E-2"/>
                  <c:y val="5.9310574741382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E7-4F54-8A0E-11127B6B91AA}"/>
                </c:ext>
              </c:extLst>
            </c:dLbl>
            <c:dLbl>
              <c:idx val="10"/>
              <c:layout>
                <c:manualLayout>
                  <c:x val="-3.1825474997998857E-2"/>
                  <c:y val="-5.93105747413829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7-4F54-8A0E-11127B6B91AA}"/>
                </c:ext>
              </c:extLst>
            </c:dLbl>
            <c:spPr>
              <a:noFill/>
              <a:ln w="6350">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PORT_HISTORY!$A$2:$A$12</c:f>
              <c:numCache>
                <c:formatCode>d\-mmm\-yy</c:formatCode>
                <c:ptCount val="11"/>
                <c:pt idx="0">
                  <c:v>45902</c:v>
                </c:pt>
                <c:pt idx="1">
                  <c:v>45923</c:v>
                </c:pt>
                <c:pt idx="2">
                  <c:v>45976</c:v>
                </c:pt>
                <c:pt idx="3">
                  <c:v>46003</c:v>
                </c:pt>
                <c:pt idx="4">
                  <c:v>46005</c:v>
                </c:pt>
                <c:pt idx="5">
                  <c:v>46008</c:v>
                </c:pt>
                <c:pt idx="6">
                  <c:v>46020</c:v>
                </c:pt>
                <c:pt idx="7">
                  <c:v>46037</c:v>
                </c:pt>
                <c:pt idx="8">
                  <c:v>46054</c:v>
                </c:pt>
                <c:pt idx="9">
                  <c:v>46073</c:v>
                </c:pt>
                <c:pt idx="10">
                  <c:v>46088</c:v>
                </c:pt>
              </c:numCache>
            </c:numRef>
          </c:cat>
          <c:val>
            <c:numRef>
              <c:f>PORT_HISTORY!$C$2:$C$12</c:f>
              <c:numCache>
                <c:formatCode>[$₹-4009]\ #,##0.0;[$₹-4009]\ \-#,##0.0</c:formatCode>
                <c:ptCount val="11"/>
                <c:pt idx="0">
                  <c:v>83</c:v>
                </c:pt>
                <c:pt idx="1">
                  <c:v>1090</c:v>
                </c:pt>
                <c:pt idx="2">
                  <c:v>1500</c:v>
                </c:pt>
                <c:pt idx="3">
                  <c:v>1700</c:v>
                </c:pt>
                <c:pt idx="4">
                  <c:v>23000</c:v>
                </c:pt>
                <c:pt idx="5">
                  <c:v>24000</c:v>
                </c:pt>
                <c:pt idx="6">
                  <c:v>145000</c:v>
                </c:pt>
                <c:pt idx="7">
                  <c:v>150500</c:v>
                </c:pt>
                <c:pt idx="8">
                  <c:v>154800</c:v>
                </c:pt>
                <c:pt idx="9">
                  <c:v>158200</c:v>
                </c:pt>
                <c:pt idx="10">
                  <c:v>161355</c:v>
                </c:pt>
              </c:numCache>
            </c:numRef>
          </c:val>
          <c:smooth val="0"/>
          <c:extLst>
            <c:ext xmlns:c16="http://schemas.microsoft.com/office/drawing/2014/chart" uri="{C3380CC4-5D6E-409C-BE32-E72D297353CC}">
              <c16:uniqueId val="{00000000-ADE7-4F54-8A0E-11127B6B91AA}"/>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46840992"/>
        <c:axId val="1046824672"/>
      </c:lineChart>
      <c:dateAx>
        <c:axId val="1046840992"/>
        <c:scaling>
          <c:orientation val="minMax"/>
        </c:scaling>
        <c:delete val="0"/>
        <c:axPos val="b"/>
        <c:numFmt formatCode="d\-mmm\-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46824672"/>
        <c:crosses val="autoZero"/>
        <c:auto val="1"/>
        <c:lblOffset val="100"/>
        <c:baseTimeUnit val="days"/>
      </c:dateAx>
      <c:valAx>
        <c:axId val="1046824672"/>
        <c:scaling>
          <c:orientation val="minMax"/>
        </c:scaling>
        <c:delete val="0"/>
        <c:axPos val="l"/>
        <c:numFmt formatCode="[$₹-4009]\ #,##0.0;[$₹-4009]\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468409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00B050"/>
                </a:solidFill>
                <a:latin typeface="+mn-lt"/>
                <a:ea typeface="+mn-ea"/>
                <a:cs typeface="+mn-cs"/>
              </a:defRPr>
            </a:pPr>
            <a:r>
              <a:rPr lang="en-US">
                <a:solidFill>
                  <a:srgbClr val="00B050"/>
                </a:solidFill>
              </a:rPr>
              <a:t>Allocation</a:t>
            </a:r>
          </a:p>
        </c:rich>
      </c:tx>
      <c:overlay val="0"/>
      <c:spPr>
        <a:noFill/>
        <a:ln>
          <a:solidFill>
            <a:schemeClr val="tx1"/>
          </a:solidFill>
        </a:ln>
        <a:effectLst/>
      </c:spPr>
      <c:txPr>
        <a:bodyPr rot="0" spcFirstLastPara="1" vertOverflow="ellipsis" vert="horz" wrap="square" anchor="ctr" anchorCtr="1"/>
        <a:lstStyle/>
        <a:p>
          <a:pPr>
            <a:defRPr sz="1600" b="1" i="0" u="none" strike="noStrike" kern="1200" baseline="0">
              <a:solidFill>
                <a:srgbClr val="00B050"/>
              </a:solidFill>
              <a:latin typeface="+mn-lt"/>
              <a:ea typeface="+mn-ea"/>
              <a:cs typeface="+mn-cs"/>
            </a:defRPr>
          </a:pPr>
          <a:endParaRPr lang="en-US"/>
        </a:p>
      </c:txPr>
    </c:title>
    <c:autoTitleDeleted val="0"/>
    <c:plotArea>
      <c:layout/>
      <c:pieChart>
        <c:varyColors val="1"/>
        <c:ser>
          <c:idx val="0"/>
          <c:order val="0"/>
          <c:tx>
            <c:strRef>
              <c:f>'SIP-SUMMARY'!$G$1</c:f>
              <c:strCache>
                <c:ptCount val="1"/>
                <c:pt idx="0">
                  <c:v>Current Value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937-46C3-BC64-18BA852BA94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937-46C3-BC64-18BA852BA94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937-46C3-BC64-18BA852BA943}"/>
              </c:ext>
            </c:extLst>
          </c:dPt>
          <c:cat>
            <c:strRef>
              <c:f>'SIP-SUMMARY'!$A$2:$A$4</c:f>
              <c:strCache>
                <c:ptCount val="3"/>
                <c:pt idx="0">
                  <c:v>KOTAK LARGE CAP FUND</c:v>
                </c:pt>
                <c:pt idx="1">
                  <c:v>NIPPON INDIA LARGE CAP FUND</c:v>
                </c:pt>
                <c:pt idx="2">
                  <c:v>Nippon India Mid Cap Fund</c:v>
                </c:pt>
              </c:strCache>
            </c:strRef>
          </c:cat>
          <c:val>
            <c:numRef>
              <c:f>'SIP-SUMMARY'!$G$2:$G$4</c:f>
              <c:numCache>
                <c:formatCode>[$₹-4009]\ #,##0.0;[Red][$₹-4009]\ \-#,##0.0</c:formatCode>
                <c:ptCount val="3"/>
                <c:pt idx="0">
                  <c:v>9606.42</c:v>
                </c:pt>
                <c:pt idx="1">
                  <c:v>9541.6719999999987</c:v>
                </c:pt>
                <c:pt idx="2">
                  <c:v>0</c:v>
                </c:pt>
              </c:numCache>
            </c:numRef>
          </c:val>
          <c:extLst>
            <c:ext xmlns:c16="http://schemas.microsoft.com/office/drawing/2014/chart" uri="{C3380CC4-5D6E-409C-BE32-E72D297353CC}">
              <c16:uniqueId val="{00000000-731F-4BD4-8915-7FA7B173DB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r>
              <a:rPr lang="en-US" sz="1400" b="1" i="0" u="none" strike="noStrike" baseline="0">
                <a:solidFill>
                  <a:schemeClr val="accent5">
                    <a:lumMod val="75000"/>
                  </a:schemeClr>
                </a:solidFill>
              </a:rPr>
              <a:t>Invested vs Current Value</a:t>
            </a:r>
            <a:endParaRPr lang="en-US" b="1">
              <a:solidFill>
                <a:schemeClr val="accent5">
                  <a:lumMod val="75000"/>
                </a:schemeClr>
              </a:solidFill>
            </a:endParaRPr>
          </a:p>
        </c:rich>
      </c:tx>
      <c:overlay val="0"/>
      <c:spPr>
        <a:noFill/>
        <a:ln>
          <a:solidFill>
            <a:schemeClr val="tx1"/>
          </a:solidFill>
        </a:ln>
        <a:effectLst/>
      </c:spPr>
      <c:txPr>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endParaRPr lang="en-US"/>
        </a:p>
      </c:txPr>
    </c:title>
    <c:autoTitleDeleted val="0"/>
    <c:plotArea>
      <c:layout/>
      <c:barChart>
        <c:barDir val="bar"/>
        <c:grouping val="clustered"/>
        <c:varyColors val="0"/>
        <c:ser>
          <c:idx val="0"/>
          <c:order val="0"/>
          <c:tx>
            <c:strRef>
              <c:f>'SIP-SUMMARY'!$F$1</c:f>
              <c:strCache>
                <c:ptCount val="1"/>
                <c:pt idx="0">
                  <c:v>Invested</c:v>
                </c:pt>
              </c:strCache>
            </c:strRef>
          </c:tx>
          <c:spPr>
            <a:solidFill>
              <a:schemeClr val="accent1"/>
            </a:solidFill>
            <a:ln>
              <a:noFill/>
            </a:ln>
            <a:effectLst/>
          </c:spPr>
          <c:invertIfNegative val="0"/>
          <c:cat>
            <c:strRef>
              <c:f>'SIP-SUMMARY'!$A$2:$A$4</c:f>
              <c:strCache>
                <c:ptCount val="3"/>
                <c:pt idx="0">
                  <c:v>KOTAK LARGE CAP FUND</c:v>
                </c:pt>
                <c:pt idx="1">
                  <c:v>NIPPON INDIA LARGE CAP FUND</c:v>
                </c:pt>
                <c:pt idx="2">
                  <c:v>Nippon India Mid Cap Fund</c:v>
                </c:pt>
              </c:strCache>
            </c:strRef>
          </c:cat>
          <c:val>
            <c:numRef>
              <c:f>'SIP-SUMMARY'!$F$2:$F$4</c:f>
              <c:numCache>
                <c:formatCode>[$₹-449]\ #,##0.0;[$₹-449]\ \-#,##0.0</c:formatCode>
                <c:ptCount val="3"/>
                <c:pt idx="0">
                  <c:v>9398.6139800000019</c:v>
                </c:pt>
                <c:pt idx="1">
                  <c:v>9399.4420533999983</c:v>
                </c:pt>
                <c:pt idx="2">
                  <c:v>0</c:v>
                </c:pt>
              </c:numCache>
            </c:numRef>
          </c:val>
          <c:extLst>
            <c:ext xmlns:c16="http://schemas.microsoft.com/office/drawing/2014/chart" uri="{C3380CC4-5D6E-409C-BE32-E72D297353CC}">
              <c16:uniqueId val="{00000000-0D7F-4E08-9F78-E07624552F3A}"/>
            </c:ext>
          </c:extLst>
        </c:ser>
        <c:ser>
          <c:idx val="1"/>
          <c:order val="1"/>
          <c:tx>
            <c:strRef>
              <c:f>'SIP-SUMMARY'!$G$1</c:f>
              <c:strCache>
                <c:ptCount val="1"/>
                <c:pt idx="0">
                  <c:v>Current Value</c:v>
                </c:pt>
              </c:strCache>
            </c:strRef>
          </c:tx>
          <c:spPr>
            <a:solidFill>
              <a:schemeClr val="accent2"/>
            </a:solidFill>
            <a:ln>
              <a:noFill/>
            </a:ln>
            <a:effectLst/>
          </c:spPr>
          <c:invertIfNegative val="0"/>
          <c:cat>
            <c:strRef>
              <c:f>'SIP-SUMMARY'!$A$2:$A$4</c:f>
              <c:strCache>
                <c:ptCount val="3"/>
                <c:pt idx="0">
                  <c:v>KOTAK LARGE CAP FUND</c:v>
                </c:pt>
                <c:pt idx="1">
                  <c:v>NIPPON INDIA LARGE CAP FUND</c:v>
                </c:pt>
                <c:pt idx="2">
                  <c:v>Nippon India Mid Cap Fund</c:v>
                </c:pt>
              </c:strCache>
            </c:strRef>
          </c:cat>
          <c:val>
            <c:numRef>
              <c:f>'SIP-SUMMARY'!$G$2:$G$4</c:f>
              <c:numCache>
                <c:formatCode>[$₹-4009]\ #,##0.0;[Red][$₹-4009]\ \-#,##0.0</c:formatCode>
                <c:ptCount val="3"/>
                <c:pt idx="0">
                  <c:v>9606.42</c:v>
                </c:pt>
                <c:pt idx="1">
                  <c:v>9541.6719999999987</c:v>
                </c:pt>
                <c:pt idx="2">
                  <c:v>0</c:v>
                </c:pt>
              </c:numCache>
            </c:numRef>
          </c:val>
          <c:extLst>
            <c:ext xmlns:c16="http://schemas.microsoft.com/office/drawing/2014/chart" uri="{C3380CC4-5D6E-409C-BE32-E72D297353CC}">
              <c16:uniqueId val="{00000001-0D7F-4E08-9F78-E07624552F3A}"/>
            </c:ext>
          </c:extLst>
        </c:ser>
        <c:dLbls>
          <c:showLegendKey val="0"/>
          <c:showVal val="0"/>
          <c:showCatName val="0"/>
          <c:showSerName val="0"/>
          <c:showPercent val="0"/>
          <c:showBubbleSize val="0"/>
        </c:dLbls>
        <c:gapWidth val="182"/>
        <c:axId val="1046833792"/>
        <c:axId val="1046839552"/>
      </c:barChart>
      <c:catAx>
        <c:axId val="104683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39552"/>
        <c:crosses val="autoZero"/>
        <c:auto val="1"/>
        <c:lblAlgn val="ctr"/>
        <c:lblOffset val="100"/>
        <c:noMultiLvlLbl val="0"/>
      </c:catAx>
      <c:valAx>
        <c:axId val="1046839552"/>
        <c:scaling>
          <c:orientation val="minMax"/>
        </c:scaling>
        <c:delete val="0"/>
        <c:axPos val="b"/>
        <c:majorGridlines>
          <c:spPr>
            <a:ln w="9525" cap="flat" cmpd="sng" algn="ctr">
              <a:solidFill>
                <a:schemeClr val="tx1">
                  <a:lumMod val="15000"/>
                  <a:lumOff val="85000"/>
                </a:schemeClr>
              </a:solidFill>
              <a:round/>
            </a:ln>
            <a:effectLst/>
          </c:spPr>
        </c:majorGridlines>
        <c:numFmt formatCode="[$₹-449]\ #,##0.0;[$₹-449]\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3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sz="1400" b="1" i="0" u="none" strike="noStrike" baseline="0">
                <a:solidFill>
                  <a:srgbClr val="7030A0"/>
                </a:solidFill>
              </a:rPr>
              <a:t>Profit per Fund</a:t>
            </a:r>
            <a:endParaRPr lang="en-US" b="1">
              <a:solidFill>
                <a:srgbClr val="7030A0"/>
              </a:solidFill>
            </a:endParaRPr>
          </a:p>
        </c:rich>
      </c:tx>
      <c:overlay val="0"/>
      <c:spPr>
        <a:noFill/>
        <a:ln>
          <a:solidFill>
            <a:schemeClr val="tx1"/>
          </a:solid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lotArea>
      <c:layout/>
      <c:barChart>
        <c:barDir val="col"/>
        <c:grouping val="clustered"/>
        <c:varyColors val="0"/>
        <c:ser>
          <c:idx val="0"/>
          <c:order val="0"/>
          <c:tx>
            <c:strRef>
              <c:f>'SIP-SUMMARY'!$H$1</c:f>
              <c:strCache>
                <c:ptCount val="1"/>
                <c:pt idx="0">
                  <c:v>P/L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5516-4541-9AE8-63887170129B}"/>
              </c:ext>
            </c:extLst>
          </c:dPt>
          <c:cat>
            <c:strRef>
              <c:f>'SIP-SUMMARY'!$A$2:$A$4</c:f>
              <c:strCache>
                <c:ptCount val="3"/>
                <c:pt idx="0">
                  <c:v>KOTAK LARGE CAP FUND</c:v>
                </c:pt>
                <c:pt idx="1">
                  <c:v>NIPPON INDIA LARGE CAP FUND</c:v>
                </c:pt>
                <c:pt idx="2">
                  <c:v>Nippon India Mid Cap Fund</c:v>
                </c:pt>
              </c:strCache>
            </c:strRef>
          </c:cat>
          <c:val>
            <c:numRef>
              <c:f>'SIP-SUMMARY'!$H$2:$H$4</c:f>
              <c:numCache>
                <c:formatCode>[$₹-449]\ #,##0.0;[$₹-449]\ \-#,##0.0</c:formatCode>
                <c:ptCount val="3"/>
                <c:pt idx="0">
                  <c:v>207.80601999999817</c:v>
                </c:pt>
                <c:pt idx="1">
                  <c:v>142.2299466000004</c:v>
                </c:pt>
                <c:pt idx="2">
                  <c:v>0</c:v>
                </c:pt>
              </c:numCache>
            </c:numRef>
          </c:val>
          <c:extLst>
            <c:ext xmlns:c16="http://schemas.microsoft.com/office/drawing/2014/chart" uri="{C3380CC4-5D6E-409C-BE32-E72D297353CC}">
              <c16:uniqueId val="{00000000-5516-4541-9AE8-63887170129B}"/>
            </c:ext>
          </c:extLst>
        </c:ser>
        <c:dLbls>
          <c:showLegendKey val="0"/>
          <c:showVal val="0"/>
          <c:showCatName val="0"/>
          <c:showSerName val="0"/>
          <c:showPercent val="0"/>
          <c:showBubbleSize val="0"/>
        </c:dLbls>
        <c:gapWidth val="219"/>
        <c:overlap val="-27"/>
        <c:axId val="1046768512"/>
        <c:axId val="1046752672"/>
      </c:barChart>
      <c:catAx>
        <c:axId val="104676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52672"/>
        <c:crosses val="autoZero"/>
        <c:auto val="1"/>
        <c:lblAlgn val="ctr"/>
        <c:lblOffset val="100"/>
        <c:noMultiLvlLbl val="0"/>
      </c:catAx>
      <c:valAx>
        <c:axId val="1046752672"/>
        <c:scaling>
          <c:orientation val="minMax"/>
        </c:scaling>
        <c:delete val="0"/>
        <c:axPos val="l"/>
        <c:majorGridlines>
          <c:spPr>
            <a:ln w="9525" cap="flat" cmpd="sng" algn="ctr">
              <a:solidFill>
                <a:schemeClr val="tx1">
                  <a:lumMod val="15000"/>
                  <a:lumOff val="85000"/>
                </a:schemeClr>
              </a:solidFill>
              <a:round/>
            </a:ln>
            <a:effectLst/>
          </c:spPr>
        </c:majorGridlines>
        <c:numFmt formatCode="[$₹-449]\ #,##0.0;[$₹-449]\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6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586740</xdr:colOff>
      <xdr:row>74</xdr:row>
      <xdr:rowOff>129540</xdr:rowOff>
    </xdr:from>
    <xdr:to>
      <xdr:col>10</xdr:col>
      <xdr:colOff>289560</xdr:colOff>
      <xdr:row>75</xdr:row>
      <xdr:rowOff>137160</xdr:rowOff>
    </xdr:to>
    <xdr:sp macro="" textlink="">
      <xdr:nvSpPr>
        <xdr:cNvPr id="14" name="Rectangle 13">
          <a:extLst>
            <a:ext uri="{FF2B5EF4-FFF2-40B4-BE49-F238E27FC236}">
              <a16:creationId xmlns:a16="http://schemas.microsoft.com/office/drawing/2014/main" id="{4F14E0C3-B8B4-1AAD-3A9B-655E40005A1D}"/>
            </a:ext>
          </a:extLst>
        </xdr:cNvPr>
        <xdr:cNvSpPr/>
      </xdr:nvSpPr>
      <xdr:spPr>
        <a:xfrm>
          <a:off x="5463540" y="13662660"/>
          <a:ext cx="922020" cy="190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91440</xdr:colOff>
      <xdr:row>0</xdr:row>
      <xdr:rowOff>91439</xdr:rowOff>
    </xdr:from>
    <xdr:to>
      <xdr:col>24</xdr:col>
      <xdr:colOff>91440</xdr:colOff>
      <xdr:row>121</xdr:row>
      <xdr:rowOff>100484</xdr:rowOff>
    </xdr:to>
    <xdr:sp macro="" textlink="">
      <xdr:nvSpPr>
        <xdr:cNvPr id="2" name="TextBox 1">
          <a:extLst>
            <a:ext uri="{FF2B5EF4-FFF2-40B4-BE49-F238E27FC236}">
              <a16:creationId xmlns:a16="http://schemas.microsoft.com/office/drawing/2014/main" id="{228E72E1-65FD-489F-9B4A-B1FF97729552}"/>
            </a:ext>
          </a:extLst>
        </xdr:cNvPr>
        <xdr:cNvSpPr txBox="1"/>
      </xdr:nvSpPr>
      <xdr:spPr>
        <a:xfrm>
          <a:off x="91440" y="91439"/>
          <a:ext cx="14670593" cy="222996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l"/>
          <a:r>
            <a:rPr lang="en-US" sz="1600" b="1"/>
            <a:t>Portfolio Tracking and Analytics Dashboard</a:t>
          </a:r>
          <a:r>
            <a:rPr lang="en-US" sz="1600" b="0"/>
            <a:t> </a:t>
          </a: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t>
          </a:r>
          <a:endParaRPr lang="en-US" sz="1100"/>
        </a:p>
        <a:p>
          <a:endParaRPr lang="en-US" sz="1100"/>
        </a:p>
        <a:p>
          <a:r>
            <a:rPr lang="en-US" sz="1400" b="1"/>
            <a:t>							WORKBOOK STRUCTURE</a:t>
          </a:r>
          <a:r>
            <a:rPr lang="en-US" sz="1400" b="0" baseline="0"/>
            <a:t> </a:t>
          </a:r>
          <a:endParaRPr lang="en-US" sz="2000" b="0" baseline="0"/>
        </a:p>
        <a:p>
          <a:r>
            <a:rPr lang="en-US" sz="1600"/>
            <a:t>	                          </a:t>
          </a:r>
        </a:p>
        <a:p>
          <a:r>
            <a:rPr lang="en-US" sz="1100" b="1"/>
            <a:t>SHEET 1 :</a:t>
          </a:r>
        </a:p>
        <a:p>
          <a:r>
            <a:rPr lang="en-US" sz="1800" b="1">
              <a:solidFill>
                <a:schemeClr val="accent5">
                  <a:lumMod val="75000"/>
                </a:schemeClr>
              </a:solidFill>
              <a:latin typeface="+mn-lt"/>
              <a:ea typeface="+mn-ea"/>
              <a:cs typeface="+mn-cs"/>
            </a:rPr>
            <a:t>IND_TNX </a:t>
          </a:r>
          <a:r>
            <a:rPr lang="en-US" sz="1100" b="1" i="0" baseline="0"/>
            <a:t>------------------&gt; </a:t>
          </a:r>
          <a:r>
            <a:rPr lang="en-US" sz="1600"/>
            <a:t>This sheet stores all raw transaction data. Each row represents a buy or sell transaction.</a:t>
          </a:r>
        </a:p>
        <a:p>
          <a:endParaRPr lang="en-US" sz="1600"/>
        </a:p>
        <a:p>
          <a:r>
            <a:rPr lang="en-US" sz="1400" b="1">
              <a:solidFill>
                <a:schemeClr val="accent2">
                  <a:lumMod val="75000"/>
                </a:schemeClr>
              </a:solidFill>
            </a:rPr>
            <a:t>COLUMNS</a:t>
          </a:r>
          <a:r>
            <a:rPr lang="en-US" sz="1400" b="1"/>
            <a:t> IN IND_TNX :</a:t>
          </a:r>
          <a:r>
            <a:rPr lang="en-US" sz="1400"/>
            <a:t>	</a:t>
          </a:r>
        </a:p>
        <a:p>
          <a:r>
            <a:rPr lang="en-US" sz="1400" b="1"/>
            <a:t>Date</a:t>
          </a:r>
          <a:r>
            <a:rPr lang="en-US" sz="1400"/>
            <a:t> – transaction date</a:t>
          </a:r>
        </a:p>
        <a:p>
          <a:r>
            <a:rPr lang="en-US" sz="1400" b="1"/>
            <a:t>Asset Name </a:t>
          </a:r>
          <a:r>
            <a:rPr lang="en-US" sz="1400"/>
            <a:t>– name of stock or ETF</a:t>
          </a:r>
        </a:p>
        <a:p>
          <a:r>
            <a:rPr lang="en-US" sz="1400" b="1"/>
            <a:t>Ticker</a:t>
          </a:r>
          <a:r>
            <a:rPr lang="en-US" sz="1400"/>
            <a:t> – trading symbol</a:t>
          </a:r>
        </a:p>
        <a:p>
          <a:r>
            <a:rPr lang="en-US" sz="1400" b="1"/>
            <a:t>Transaction Type </a:t>
          </a:r>
          <a:r>
            <a:rPr lang="en-US" sz="1400"/>
            <a:t>– BUY or SELL</a:t>
          </a:r>
        </a:p>
        <a:p>
          <a:r>
            <a:rPr lang="en-US" sz="1400" b="1"/>
            <a:t>Quantity</a:t>
          </a:r>
          <a:r>
            <a:rPr lang="en-US" sz="1400"/>
            <a:t> – number of units traded</a:t>
          </a:r>
        </a:p>
        <a:p>
          <a:r>
            <a:rPr lang="en-US" sz="1400" b="1"/>
            <a:t>Trade Value </a:t>
          </a:r>
          <a:r>
            <a:rPr lang="en-US" sz="1400"/>
            <a:t>– total transaction amount</a:t>
          </a:r>
        </a:p>
        <a:p>
          <a:r>
            <a:rPr lang="en-US" sz="1400" b="1"/>
            <a:t>Price</a:t>
          </a:r>
          <a:r>
            <a:rPr lang="en-US" sz="1400"/>
            <a:t> – price per unit</a:t>
          </a:r>
        </a:p>
        <a:p>
          <a:endParaRPr lang="en-US" sz="1100"/>
        </a:p>
        <a:p>
          <a:r>
            <a:rPr lang="en-US" sz="1100">
              <a:solidFill>
                <a:schemeClr val="dk1"/>
              </a:solidFill>
              <a:effectLst/>
              <a:latin typeface="+mn-lt"/>
              <a:ea typeface="+mn-ea"/>
              <a:cs typeface="+mn-cs"/>
            </a:rPr>
            <a:t>-------------------------------------------------------------------------------------------------------------------------------------------------------------------------------------------------------------------------------------------------------------------------------------------------------------------------------------------------</a:t>
          </a:r>
          <a:endParaRPr lang="en-US" sz="1100"/>
        </a:p>
        <a:p>
          <a:endParaRPr lang="en-US" sz="1100"/>
        </a:p>
        <a:p>
          <a:r>
            <a:rPr lang="en-US" sz="1100" b="1"/>
            <a:t>SHEET 2 : </a:t>
          </a:r>
        </a:p>
        <a:p>
          <a:pPr marL="0" indent="0"/>
          <a:r>
            <a:rPr lang="en-US" sz="1800" b="1">
              <a:solidFill>
                <a:schemeClr val="accent5">
                  <a:lumMod val="75000"/>
                </a:schemeClr>
              </a:solidFill>
            </a:rPr>
            <a:t>IND_</a:t>
          </a:r>
          <a:r>
            <a:rPr lang="en-US" sz="1800" b="1">
              <a:solidFill>
                <a:schemeClr val="accent5">
                  <a:lumMod val="75000"/>
                </a:schemeClr>
              </a:solidFill>
              <a:latin typeface="+mn-lt"/>
              <a:ea typeface="+mn-ea"/>
              <a:cs typeface="+mn-cs"/>
            </a:rPr>
            <a:t>HOLDINGS</a:t>
          </a:r>
          <a:r>
            <a:rPr lang="en-US" sz="1100" b="1" i="0" baseline="0">
              <a:solidFill>
                <a:schemeClr val="dk1"/>
              </a:solidFill>
              <a:latin typeface="+mn-lt"/>
              <a:ea typeface="+mn-ea"/>
              <a:cs typeface="+mn-cs"/>
            </a:rPr>
            <a:t>---------------------&gt; </a:t>
          </a:r>
          <a:r>
            <a:rPr lang="en-US" sz="1600">
              <a:solidFill>
                <a:schemeClr val="dk1"/>
              </a:solidFill>
              <a:latin typeface="+mn-lt"/>
              <a:ea typeface="+mn-ea"/>
              <a:cs typeface="+mn-cs"/>
            </a:rPr>
            <a:t>This sheet calculates the current portfolio position for each asset.</a:t>
          </a:r>
        </a:p>
        <a:p>
          <a:endParaRPr lang="en-US" sz="1100"/>
        </a:p>
        <a:p>
          <a:r>
            <a:rPr lang="en-US" sz="1400" b="1">
              <a:solidFill>
                <a:schemeClr val="accent2">
                  <a:lumMod val="75000"/>
                </a:schemeClr>
              </a:solidFill>
              <a:latin typeface="+mn-lt"/>
              <a:ea typeface="+mn-ea"/>
              <a:cs typeface="+mn-cs"/>
            </a:rPr>
            <a:t>COLUMNS</a:t>
          </a:r>
          <a:r>
            <a:rPr lang="en-US" sz="1400" b="1">
              <a:solidFill>
                <a:schemeClr val="accent5">
                  <a:lumMod val="60000"/>
                  <a:lumOff val="40000"/>
                </a:schemeClr>
              </a:solidFill>
              <a:latin typeface="+mn-lt"/>
              <a:ea typeface="+mn-ea"/>
              <a:cs typeface="+mn-cs"/>
            </a:rPr>
            <a:t> </a:t>
          </a:r>
          <a:r>
            <a:rPr lang="en-US" sz="1400" b="1">
              <a:solidFill>
                <a:sysClr val="windowText" lastClr="000000"/>
              </a:solidFill>
              <a:latin typeface="+mn-lt"/>
              <a:ea typeface="+mn-ea"/>
              <a:cs typeface="+mn-cs"/>
            </a:rPr>
            <a:t>IN IND_HOLDINGS :</a:t>
          </a:r>
        </a:p>
        <a:p>
          <a:r>
            <a:rPr lang="en-US" sz="1400" b="1"/>
            <a:t>Quantity </a:t>
          </a:r>
          <a:r>
            <a:rPr lang="en-US" sz="1400"/>
            <a:t> – total quantity currently owned</a:t>
          </a:r>
        </a:p>
        <a:p>
          <a:r>
            <a:rPr lang="en-US" sz="1400" b="1"/>
            <a:t>Average Price </a:t>
          </a:r>
          <a:r>
            <a:rPr lang="en-US" sz="1400"/>
            <a:t>– weighted average purchase price</a:t>
          </a:r>
        </a:p>
        <a:p>
          <a:r>
            <a:rPr lang="en-US" sz="1400" b="1"/>
            <a:t>Invested Value </a:t>
          </a:r>
          <a:r>
            <a:rPr lang="en-US" sz="1400"/>
            <a:t>– total capital invested</a:t>
          </a:r>
        </a:p>
        <a:p>
          <a:r>
            <a:rPr lang="en-US" sz="1400" b="1"/>
            <a:t>Live Price </a:t>
          </a:r>
          <a:r>
            <a:rPr lang="en-US" sz="1400"/>
            <a:t>– latest market price</a:t>
          </a:r>
        </a:p>
        <a:p>
          <a:r>
            <a:rPr lang="en-US" sz="1400" b="1"/>
            <a:t>Current Value </a:t>
          </a:r>
          <a:r>
            <a:rPr lang="en-US" sz="1400"/>
            <a:t>– current portfolio value</a:t>
          </a:r>
        </a:p>
        <a:p>
          <a:r>
            <a:rPr lang="en-US" sz="1400" b="1"/>
            <a:t>Profit/Loss </a:t>
          </a:r>
          <a:r>
            <a:rPr lang="en-US" sz="1400"/>
            <a:t>– difference between current value and invested value</a:t>
          </a:r>
        </a:p>
        <a:p>
          <a:r>
            <a:rPr lang="en-US" sz="1400" b="1"/>
            <a:t>Return % </a:t>
          </a:r>
          <a:r>
            <a:rPr lang="en-US" sz="1400"/>
            <a:t>– percentage return on the asset</a:t>
          </a:r>
        </a:p>
        <a:p>
          <a:r>
            <a:rPr lang="en-US" sz="1400" b="1"/>
            <a:t>Weight</a:t>
          </a:r>
          <a:r>
            <a:rPr lang="en-US" sz="1400"/>
            <a:t> – percentage allocation in the portfolio</a:t>
          </a:r>
        </a:p>
        <a:p>
          <a:endParaRPr lang="en-US" sz="1100"/>
        </a:p>
        <a:p>
          <a:r>
            <a:rPr lang="en-US" sz="1100">
              <a:solidFill>
                <a:schemeClr val="dk1"/>
              </a:solidFill>
              <a:effectLst/>
              <a:latin typeface="+mn-lt"/>
              <a:ea typeface="+mn-ea"/>
              <a:cs typeface="+mn-cs"/>
            </a:rPr>
            <a:t>-------------------------------------------------------------------------------------------------------------------------------------------------------------------------------------------------------------------------------------------------------------------------------------------------------------------------------------------------</a:t>
          </a:r>
          <a:endParaRPr lang="en-US" sz="1100"/>
        </a:p>
        <a:p>
          <a:endParaRPr lang="en-US" sz="1100"/>
        </a:p>
        <a:p>
          <a:endParaRPr lang="en-US" sz="1100"/>
        </a:p>
        <a:p>
          <a:r>
            <a:rPr lang="en-US" sz="1100" b="1"/>
            <a:t>SHEET 3 : </a:t>
          </a:r>
        </a:p>
        <a:p>
          <a:r>
            <a:rPr lang="en-US" sz="1800" b="1">
              <a:solidFill>
                <a:schemeClr val="accent5">
                  <a:lumMod val="75000"/>
                </a:schemeClr>
              </a:solidFill>
              <a:latin typeface="+mn-lt"/>
              <a:ea typeface="+mn-ea"/>
              <a:cs typeface="+mn-cs"/>
            </a:rPr>
            <a:t>PORT_HISTORY</a:t>
          </a:r>
          <a:r>
            <a:rPr lang="en-US" sz="1100" b="1" i="0" baseline="0">
              <a:solidFill>
                <a:schemeClr val="dk1"/>
              </a:solidFill>
              <a:latin typeface="+mn-lt"/>
              <a:ea typeface="+mn-ea"/>
              <a:cs typeface="+mn-cs"/>
            </a:rPr>
            <a:t>---------------------&gt; </a:t>
          </a:r>
          <a:r>
            <a:rPr lang="en-US" sz="1600">
              <a:solidFill>
                <a:schemeClr val="dk1"/>
              </a:solidFill>
              <a:latin typeface="+mn-lt"/>
              <a:ea typeface="+mn-ea"/>
              <a:cs typeface="+mn-cs"/>
            </a:rPr>
            <a:t>This sheet tracks the historical growth of the portfolio.</a:t>
          </a:r>
        </a:p>
        <a:p>
          <a:pPr marL="0" indent="0"/>
          <a:endParaRPr lang="en-US" sz="1400" b="1">
            <a:solidFill>
              <a:schemeClr val="accent5">
                <a:lumMod val="60000"/>
                <a:lumOff val="40000"/>
              </a:schemeClr>
            </a:solidFill>
            <a:latin typeface="+mn-lt"/>
            <a:ea typeface="+mn-ea"/>
            <a:cs typeface="+mn-cs"/>
          </a:endParaRPr>
        </a:p>
        <a:p>
          <a:pPr marL="0" indent="0"/>
          <a:r>
            <a:rPr lang="en-US" sz="1400" b="1">
              <a:solidFill>
                <a:schemeClr val="accent2">
                  <a:lumMod val="75000"/>
                </a:schemeClr>
              </a:solidFill>
              <a:latin typeface="+mn-lt"/>
              <a:ea typeface="+mn-ea"/>
              <a:cs typeface="+mn-cs"/>
            </a:rPr>
            <a:t>COLUMNS</a:t>
          </a:r>
          <a:r>
            <a:rPr lang="en-US" sz="1400" b="1">
              <a:solidFill>
                <a:schemeClr val="accent5">
                  <a:lumMod val="60000"/>
                  <a:lumOff val="40000"/>
                </a:schemeClr>
              </a:solidFill>
              <a:latin typeface="+mn-lt"/>
              <a:ea typeface="+mn-ea"/>
              <a:cs typeface="+mn-cs"/>
            </a:rPr>
            <a:t> </a:t>
          </a:r>
          <a:r>
            <a:rPr lang="en-US" sz="1400" b="1">
              <a:solidFill>
                <a:sysClr val="windowText" lastClr="000000"/>
              </a:solidFill>
              <a:latin typeface="+mn-lt"/>
              <a:ea typeface="+mn-ea"/>
              <a:cs typeface="+mn-cs"/>
            </a:rPr>
            <a:t>IN PORT_HISTORY</a:t>
          </a:r>
          <a:r>
            <a:rPr lang="en-US" sz="1400" b="1" baseline="0">
              <a:solidFill>
                <a:sysClr val="windowText" lastClr="000000"/>
              </a:solidFill>
              <a:latin typeface="+mn-lt"/>
              <a:ea typeface="+mn-ea"/>
              <a:cs typeface="+mn-cs"/>
            </a:rPr>
            <a:t> :</a:t>
          </a:r>
          <a:endParaRPr lang="en-US" sz="1400" b="1">
            <a:solidFill>
              <a:sysClr val="windowText" lastClr="000000"/>
            </a:solidFill>
            <a:latin typeface="+mn-lt"/>
            <a:ea typeface="+mn-ea"/>
            <a:cs typeface="+mn-cs"/>
          </a:endParaRPr>
        </a:p>
        <a:p>
          <a:r>
            <a:rPr lang="en-US" sz="1400" b="1">
              <a:solidFill>
                <a:schemeClr val="dk1"/>
              </a:solidFill>
              <a:latin typeface="+mn-lt"/>
              <a:ea typeface="+mn-ea"/>
              <a:cs typeface="+mn-cs"/>
            </a:rPr>
            <a:t>Date</a:t>
          </a:r>
          <a:r>
            <a:rPr lang="en-US" sz="1400">
              <a:solidFill>
                <a:schemeClr val="dk1"/>
              </a:solidFill>
              <a:latin typeface="+mn-lt"/>
              <a:ea typeface="+mn-ea"/>
              <a:cs typeface="+mn-cs"/>
            </a:rPr>
            <a:t> – portfolio snapshot date</a:t>
          </a:r>
        </a:p>
        <a:p>
          <a:r>
            <a:rPr lang="en-US" sz="1400" b="1">
              <a:solidFill>
                <a:schemeClr val="dk1"/>
              </a:solidFill>
              <a:latin typeface="+mn-lt"/>
              <a:ea typeface="+mn-ea"/>
              <a:cs typeface="+mn-cs"/>
            </a:rPr>
            <a:t>Invested</a:t>
          </a:r>
          <a:r>
            <a:rPr lang="en-US" sz="1400">
              <a:solidFill>
                <a:schemeClr val="dk1"/>
              </a:solidFill>
              <a:latin typeface="+mn-lt"/>
              <a:ea typeface="+mn-ea"/>
              <a:cs typeface="+mn-cs"/>
            </a:rPr>
            <a:t> – total capital invested</a:t>
          </a:r>
        </a:p>
        <a:p>
          <a:r>
            <a:rPr lang="en-US" sz="1400" b="1">
              <a:solidFill>
                <a:schemeClr val="dk1"/>
              </a:solidFill>
              <a:latin typeface="+mn-lt"/>
              <a:ea typeface="+mn-ea"/>
              <a:cs typeface="+mn-cs"/>
            </a:rPr>
            <a:t>Portfolio Value </a:t>
          </a:r>
          <a:r>
            <a:rPr lang="en-US" sz="1400">
              <a:solidFill>
                <a:schemeClr val="dk1"/>
              </a:solidFill>
              <a:latin typeface="+mn-lt"/>
              <a:ea typeface="+mn-ea"/>
              <a:cs typeface="+mn-cs"/>
            </a:rPr>
            <a:t>– total market value of portfolio</a:t>
          </a:r>
        </a:p>
        <a:p>
          <a:r>
            <a:rPr lang="en-US" sz="1400" b="1">
              <a:solidFill>
                <a:schemeClr val="dk1"/>
              </a:solidFill>
              <a:latin typeface="+mn-lt"/>
              <a:ea typeface="+mn-ea"/>
              <a:cs typeface="+mn-cs"/>
            </a:rPr>
            <a:t>Profit</a:t>
          </a:r>
          <a:r>
            <a:rPr lang="en-US" sz="1400">
              <a:solidFill>
                <a:schemeClr val="dk1"/>
              </a:solidFill>
              <a:latin typeface="+mn-lt"/>
              <a:ea typeface="+mn-ea"/>
              <a:cs typeface="+mn-cs"/>
            </a:rPr>
            <a:t> – difference between portfolio value and invested capital</a:t>
          </a:r>
        </a:p>
        <a:p>
          <a:r>
            <a:rPr lang="en-US" sz="1400" b="1">
              <a:solidFill>
                <a:schemeClr val="dk1"/>
              </a:solidFill>
              <a:latin typeface="+mn-lt"/>
              <a:ea typeface="+mn-ea"/>
              <a:cs typeface="+mn-cs"/>
            </a:rPr>
            <a:t>Return % </a:t>
          </a:r>
          <a:r>
            <a:rPr lang="en-US" sz="1400">
              <a:solidFill>
                <a:schemeClr val="dk1"/>
              </a:solidFill>
              <a:latin typeface="+mn-lt"/>
              <a:ea typeface="+mn-ea"/>
              <a:cs typeface="+mn-cs"/>
            </a:rPr>
            <a:t>– overall portfolio return percentage</a:t>
          </a:r>
        </a:p>
        <a:p>
          <a:endParaRPr lang="en-US" sz="1100"/>
        </a:p>
        <a:p>
          <a:r>
            <a:rPr lang="en-US" sz="1100"/>
            <a:t>-------------------------------------------------------------------------------------------------------------------------------------------------------------------------------------------------------------------------------------------------------------------------------------------------------------------------------------------------</a:t>
          </a:r>
        </a:p>
        <a:p>
          <a:r>
            <a:rPr lang="en-US" sz="1100" b="1"/>
            <a:t>SHEET 4 :</a:t>
          </a:r>
        </a:p>
        <a:p>
          <a:r>
            <a:rPr lang="en-US" sz="1800" b="1">
              <a:solidFill>
                <a:schemeClr val="accent5">
                  <a:lumMod val="75000"/>
                </a:schemeClr>
              </a:solidFill>
              <a:latin typeface="+mn-lt"/>
              <a:ea typeface="+mn-ea"/>
              <a:cs typeface="+mn-cs"/>
            </a:rPr>
            <a:t>SUMMARY</a:t>
          </a:r>
          <a:r>
            <a:rPr lang="en-US" sz="1100" b="1" i="0" baseline="0">
              <a:solidFill>
                <a:schemeClr val="dk1"/>
              </a:solidFill>
              <a:latin typeface="+mn-lt"/>
              <a:ea typeface="+mn-ea"/>
              <a:cs typeface="+mn-cs"/>
            </a:rPr>
            <a:t>-----------------&gt; </a:t>
          </a:r>
          <a:r>
            <a:rPr lang="en-US" sz="1600">
              <a:solidFill>
                <a:schemeClr val="dk1"/>
              </a:solidFill>
              <a:latin typeface="+mn-lt"/>
              <a:ea typeface="+mn-ea"/>
              <a:cs typeface="+mn-cs"/>
            </a:rPr>
            <a:t>This sheet provides a visual dashboard for quick understanding of portfolio performance.</a:t>
          </a:r>
        </a:p>
        <a:p>
          <a:endParaRPr lang="en-US" sz="1100"/>
        </a:p>
        <a:p>
          <a:r>
            <a:rPr lang="en-US" sz="1400" b="1">
              <a:solidFill>
                <a:schemeClr val="accent2">
                  <a:lumMod val="75000"/>
                </a:schemeClr>
              </a:solidFill>
              <a:latin typeface="+mn-lt"/>
              <a:ea typeface="+mn-ea"/>
              <a:cs typeface="+mn-cs"/>
            </a:rPr>
            <a:t>KEY METRICS DISPLAYED :</a:t>
          </a:r>
          <a:r>
            <a:rPr lang="en-US" sz="1100"/>
            <a:t>	</a:t>
          </a:r>
        </a:p>
        <a:p>
          <a:r>
            <a:rPr lang="en-US" sz="1400" b="1"/>
            <a:t>Total Invested </a:t>
          </a:r>
          <a:r>
            <a:rPr lang="en-US" sz="1400"/>
            <a:t>– total capital invested in the portfolio</a:t>
          </a:r>
        </a:p>
        <a:p>
          <a:r>
            <a:rPr lang="en-US" sz="1400" b="1"/>
            <a:t>Current Portfolio Value </a:t>
          </a:r>
          <a:r>
            <a:rPr lang="en-US" sz="1400"/>
            <a:t>– current market value</a:t>
          </a:r>
        </a:p>
        <a:p>
          <a:r>
            <a:rPr lang="en-US" sz="1400" b="1"/>
            <a:t>Total Profit </a:t>
          </a:r>
          <a:r>
            <a:rPr lang="en-US" sz="1400"/>
            <a:t>– overall gain or loss</a:t>
          </a:r>
        </a:p>
        <a:p>
          <a:r>
            <a:rPr lang="en-US" sz="1400" b="1"/>
            <a:t>Portfolio Return </a:t>
          </a:r>
          <a:r>
            <a:rPr lang="en-US" sz="1400"/>
            <a:t>– overall return percentage</a:t>
          </a:r>
        </a:p>
        <a:p>
          <a:endParaRPr lang="en-US" sz="1400"/>
        </a:p>
        <a:p>
          <a:r>
            <a:rPr lang="en-US" sz="1400" b="1">
              <a:solidFill>
                <a:schemeClr val="accent2">
                  <a:lumMod val="75000"/>
                </a:schemeClr>
              </a:solidFill>
            </a:rPr>
            <a:t>PORTFOLIO INSIGHTS : </a:t>
          </a:r>
          <a:r>
            <a:rPr lang="en-US" sz="1400"/>
            <a:t>	</a:t>
          </a:r>
        </a:p>
        <a:p>
          <a:r>
            <a:rPr lang="en-US" sz="1400" b="1"/>
            <a:t>Top Holding </a:t>
          </a:r>
          <a:r>
            <a:rPr lang="en-US" sz="1400"/>
            <a:t>– asset with the highest allocation</a:t>
          </a:r>
        </a:p>
        <a:p>
          <a:r>
            <a:rPr lang="en-US" sz="1400" b="1"/>
            <a:t>Biggest Profit </a:t>
          </a:r>
          <a:r>
            <a:rPr lang="en-US" sz="1400"/>
            <a:t>– asset generating the highest profit</a:t>
          </a:r>
        </a:p>
        <a:p>
          <a:r>
            <a:rPr lang="en-US" sz="1400" b="1"/>
            <a:t>Worst Performer </a:t>
          </a:r>
          <a:r>
            <a:rPr lang="en-US" sz="1400"/>
            <a:t>– asset generating the lowest return</a:t>
          </a:r>
        </a:p>
        <a:p>
          <a:endParaRPr lang="en-US" sz="1400"/>
        </a:p>
        <a:p>
          <a:r>
            <a:rPr lang="en-US" sz="1400" b="1">
              <a:solidFill>
                <a:schemeClr val="accent2">
                  <a:lumMod val="75000"/>
                </a:schemeClr>
              </a:solidFill>
              <a:latin typeface="+mn-lt"/>
              <a:ea typeface="+mn-ea"/>
              <a:cs typeface="+mn-cs"/>
            </a:rPr>
            <a:t>CHARTS USED IN DASHBOARD : </a:t>
          </a:r>
          <a:r>
            <a:rPr lang="en-US" sz="1400"/>
            <a:t>	</a:t>
          </a:r>
        </a:p>
        <a:p>
          <a:r>
            <a:rPr lang="en-US" sz="1400" b="1"/>
            <a:t>Portfolio Growth Chart </a:t>
          </a:r>
          <a:r>
            <a:rPr lang="en-US" sz="1400"/>
            <a:t>– shows portfolio value over time</a:t>
          </a:r>
        </a:p>
        <a:p>
          <a:r>
            <a:rPr lang="en-US" sz="1400" b="1"/>
            <a:t>Invested vs Portfolio Value Chart </a:t>
          </a:r>
          <a:r>
            <a:rPr lang="en-US" sz="1400"/>
            <a:t>– shows capital vs portfolio growth</a:t>
          </a:r>
        </a:p>
        <a:p>
          <a:r>
            <a:rPr lang="en-US" sz="1400" b="1"/>
            <a:t>Portfolio Allocation Chart </a:t>
          </a:r>
          <a:r>
            <a:rPr lang="en-US" sz="1400"/>
            <a:t>– shows distribution of assets in the portfolio</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t>
          </a:r>
          <a:endParaRPr lang="en-US" sz="1100"/>
        </a:p>
        <a:p>
          <a:endParaRPr lang="en-US" sz="1100"/>
        </a:p>
        <a:p>
          <a:r>
            <a:rPr lang="en-US" sz="1400" b="1"/>
            <a:t>KEY INSIGHTS FROM PROJECT </a:t>
          </a:r>
        </a:p>
        <a:p>
          <a:r>
            <a:rPr lang="en-US" sz="1100"/>
            <a:t>	</a:t>
          </a:r>
        </a:p>
        <a:p>
          <a:r>
            <a:rPr lang="en-US" sz="1600" b="1" u="sng"/>
            <a:t>Silver ETF</a:t>
          </a:r>
          <a:r>
            <a:rPr lang="en-US" sz="1600" b="1" u="none"/>
            <a:t>    </a:t>
          </a:r>
          <a:r>
            <a:rPr lang="en-US" sz="1400" u="none"/>
            <a:t>is </a:t>
          </a:r>
          <a:r>
            <a:rPr lang="en-US" sz="1400"/>
            <a:t>the </a:t>
          </a:r>
          <a:r>
            <a:rPr lang="en-US" sz="1400" b="1">
              <a:solidFill>
                <a:schemeClr val="accent5"/>
              </a:solidFill>
            </a:rPr>
            <a:t>largest holding.</a:t>
          </a:r>
        </a:p>
        <a:p>
          <a:r>
            <a:rPr lang="en-US" sz="1600" b="1" u="sng"/>
            <a:t>Gold ETF</a:t>
          </a:r>
          <a:r>
            <a:rPr lang="en-US" sz="1600" b="1" u="none" baseline="0"/>
            <a:t>  </a:t>
          </a:r>
          <a:r>
            <a:rPr lang="en-US" sz="1400"/>
            <a:t>generated the </a:t>
          </a:r>
          <a:r>
            <a:rPr lang="en-US" sz="1400" b="1">
              <a:solidFill>
                <a:schemeClr val="accent5"/>
              </a:solidFill>
            </a:rPr>
            <a:t>highest profit.</a:t>
          </a:r>
        </a:p>
        <a:p>
          <a:r>
            <a:rPr lang="en-US" sz="1600" b="1" u="sng"/>
            <a:t>Suzlon</a:t>
          </a:r>
          <a:r>
            <a:rPr lang="en-US" sz="1400" b="1"/>
            <a:t> </a:t>
          </a:r>
          <a:r>
            <a:rPr lang="en-US" sz="1400"/>
            <a:t> is currently the </a:t>
          </a:r>
          <a:r>
            <a:rPr lang="en-US" sz="1400" b="1">
              <a:solidFill>
                <a:schemeClr val="accent5"/>
              </a:solidFill>
            </a:rPr>
            <a:t>worst performer.</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r>
            <a:rPr lang="en-US" sz="1400" b="1"/>
            <a:t>FUTURE IMPROVEMENTS</a:t>
          </a:r>
          <a:r>
            <a:rPr lang="en-US" sz="1100" b="1"/>
            <a:t>	</a:t>
          </a:r>
          <a:r>
            <a:rPr lang="en-US" sz="1100" b="1" baseline="0"/>
            <a:t> : </a:t>
          </a:r>
        </a:p>
        <a:p>
          <a:endParaRPr lang="en-US" sz="1200"/>
        </a:p>
        <a:p>
          <a:r>
            <a:rPr lang="en-US" sz="1400" b="1">
              <a:solidFill>
                <a:schemeClr val="accent2">
                  <a:lumMod val="75000"/>
                </a:schemeClr>
              </a:solidFill>
              <a:latin typeface="+mn-lt"/>
              <a:ea typeface="+mn-ea"/>
              <a:cs typeface="+mn-cs"/>
            </a:rPr>
            <a:t>* Monthly performance analysis</a:t>
          </a:r>
        </a:p>
        <a:p>
          <a:r>
            <a:rPr lang="en-US" sz="1400"/>
            <a:t>Add a module that tracks monthly portfolio performance to analyze investment trends and periodic returns.</a:t>
          </a:r>
        </a:p>
        <a:p>
          <a:pPr marL="0" indent="0"/>
          <a:endParaRPr lang="en-US" sz="1400" b="1">
            <a:solidFill>
              <a:schemeClr val="accent2">
                <a:lumMod val="75000"/>
              </a:schemeClr>
            </a:solidFill>
            <a:latin typeface="+mn-lt"/>
            <a:ea typeface="+mn-ea"/>
            <a:cs typeface="+mn-cs"/>
          </a:endParaRPr>
        </a:p>
        <a:p>
          <a:pPr marL="0" indent="0"/>
          <a:r>
            <a:rPr lang="en-US" sz="1400" b="1">
              <a:solidFill>
                <a:schemeClr val="accent2">
                  <a:lumMod val="75000"/>
                </a:schemeClr>
              </a:solidFill>
              <a:latin typeface="+mn-lt"/>
              <a:ea typeface="+mn-ea"/>
              <a:cs typeface="+mn-cs"/>
            </a:rPr>
            <a:t>*  Risk metrics such as drawdown analysis</a:t>
          </a:r>
        </a:p>
        <a:p>
          <a:r>
            <a:rPr lang="en-US" sz="1400"/>
            <a:t>Implement risk measurement tools such as maximum drawdown, volatility, and risk-adjusted return metrics to evaluate portfolio stability.</a:t>
          </a:r>
        </a:p>
        <a:p>
          <a:endParaRPr lang="en-US" sz="1400"/>
        </a:p>
        <a:p>
          <a:r>
            <a:rPr lang="en-US" sz="1400" b="1">
              <a:solidFill>
                <a:schemeClr val="accent2">
                  <a:lumMod val="75000"/>
                </a:schemeClr>
              </a:solidFill>
              <a:latin typeface="+mn-lt"/>
              <a:ea typeface="+mn-ea"/>
              <a:cs typeface="+mn-cs"/>
            </a:rPr>
            <a:t> * AI-Based Investment Insights</a:t>
          </a:r>
          <a:br>
            <a:rPr lang="en-US" sz="1200"/>
          </a:br>
          <a:r>
            <a:rPr lang="en-US" sz="1400"/>
            <a:t>Use machine learning models to analyze historical portfolio performance and generate insights or predictions about potential future returns.</a:t>
          </a:r>
        </a:p>
        <a:p>
          <a:endParaRPr lang="en-US" sz="1400"/>
        </a:p>
        <a:p>
          <a:r>
            <a:rPr lang="en-US" sz="1400" b="1">
              <a:solidFill>
                <a:schemeClr val="accent2">
                  <a:lumMod val="75000"/>
                </a:schemeClr>
              </a:solidFill>
              <a:latin typeface="+mn-lt"/>
              <a:ea typeface="+mn-ea"/>
              <a:cs typeface="+mn-cs"/>
            </a:rPr>
            <a:t> * Automated Portfolio Alerts</a:t>
          </a:r>
          <a:br>
            <a:rPr lang="en-US" sz="1200"/>
          </a:br>
          <a:r>
            <a:rPr lang="en-US" sz="1400"/>
            <a:t>Implement notification alerts for significant price changes, profit targets, or stop-loss levels to help investors react quickly to market movements.</a:t>
          </a:r>
        </a:p>
        <a:p>
          <a:br>
            <a:rPr lang="en-US" sz="1200"/>
          </a:br>
          <a:r>
            <a:rPr lang="en-US" sz="1400" b="1">
              <a:solidFill>
                <a:schemeClr val="accent2">
                  <a:lumMod val="75000"/>
                </a:schemeClr>
              </a:solidFill>
              <a:latin typeface="+mn-lt"/>
              <a:ea typeface="+mn-ea"/>
              <a:cs typeface="+mn-cs"/>
            </a:rPr>
            <a:t> * Multi-Region Portfolio Tracking</a:t>
          </a:r>
          <a:br>
            <a:rPr lang="en-US" sz="1200"/>
          </a:br>
          <a:r>
            <a:rPr lang="en-US" sz="1400"/>
            <a:t>Extend the dashboard to support investments across multiple markets (India, US, Global ETFs) with automatic currency conversion and consolidated portfolio analysis.</a:t>
          </a:r>
        </a:p>
        <a:p>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t>
          </a:r>
          <a:endParaRPr lang="en-US">
            <a:effectLst/>
          </a:endParaRPr>
        </a:p>
        <a:p>
          <a:endParaRPr lang="en-US" sz="1100"/>
        </a:p>
        <a:p>
          <a:r>
            <a:rPr lang="en-US" sz="1400" b="1"/>
            <a:t>CONCLUSION : </a:t>
          </a:r>
        </a:p>
        <a:p>
          <a:r>
            <a:rPr lang="en-US" sz="1100"/>
            <a:t>	        </a:t>
          </a:r>
          <a:r>
            <a:rPr lang="en-US" sz="1600"/>
            <a:t>This project demonstrates how investment data can be organized, analyzed, and visualized using Excel to support better financial decision-making</a:t>
          </a:r>
          <a:r>
            <a:rPr lang="en-US" sz="1100"/>
            <a:t>.</a:t>
          </a:r>
        </a:p>
        <a:p>
          <a:endParaRPr lang="en-US" sz="1100"/>
        </a:p>
        <a:p>
          <a:endParaRPr lang="en-US" sz="1100"/>
        </a:p>
        <a:p>
          <a:r>
            <a:rPr lang="en-US" sz="1100">
              <a:solidFill>
                <a:schemeClr val="dk1"/>
              </a:solidFill>
              <a:effectLst/>
              <a:latin typeface="+mn-lt"/>
              <a:ea typeface="+mn-ea"/>
              <a:cs typeface="+mn-cs"/>
            </a:rPr>
            <a:t>------------------------------------------------------------------------------------------------------------------------------------------------------------------------------------------------------------------------------------------------------------------------------------------------------------------------------------------------</a:t>
          </a:r>
          <a:endParaRPr lang="en-US" sz="1100"/>
        </a:p>
        <a:p>
          <a:endParaRPr lang="en-US" sz="1100"/>
        </a:p>
      </xdr:txBody>
    </xdr:sp>
    <xdr:clientData/>
  </xdr:twoCellAnchor>
  <xdr:twoCellAnchor>
    <xdr:from>
      <xdr:col>14</xdr:col>
      <xdr:colOff>355041</xdr:colOff>
      <xdr:row>24</xdr:row>
      <xdr:rowOff>114970</xdr:rowOff>
    </xdr:from>
    <xdr:to>
      <xdr:col>22</xdr:col>
      <xdr:colOff>195021</xdr:colOff>
      <xdr:row>43</xdr:row>
      <xdr:rowOff>153070</xdr:rowOff>
    </xdr:to>
    <xdr:sp macro="" textlink="">
      <xdr:nvSpPr>
        <xdr:cNvPr id="8" name="Rectangle 7">
          <a:extLst>
            <a:ext uri="{FF2B5EF4-FFF2-40B4-BE49-F238E27FC236}">
              <a16:creationId xmlns:a16="http://schemas.microsoft.com/office/drawing/2014/main" id="{D62E3BBE-6824-0B4C-9F09-6F769E62E78B}"/>
            </a:ext>
          </a:extLst>
        </xdr:cNvPr>
        <xdr:cNvSpPr/>
      </xdr:nvSpPr>
      <xdr:spPr>
        <a:xfrm>
          <a:off x="8912887" y="4536245"/>
          <a:ext cx="4730178" cy="3538276"/>
        </a:xfrm>
        <a:prstGeom prst="rect">
          <a:avLst/>
        </a:prstGeom>
        <a:ln>
          <a:solidFill>
            <a:schemeClr val="tx2"/>
          </a:solidFill>
        </a:ln>
        <a:effectLst>
          <a:glow rad="228600">
            <a:schemeClr val="accent4">
              <a:satMod val="175000"/>
              <a:alpha val="40000"/>
            </a:schemeClr>
          </a:glow>
          <a:softEdge rad="1270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US" sz="1100"/>
            <a:t>                                       </a:t>
          </a:r>
        </a:p>
        <a:p>
          <a:r>
            <a:rPr lang="en-US" sz="1100" b="1" baseline="0">
              <a:solidFill>
                <a:schemeClr val="lt1"/>
              </a:solidFill>
              <a:effectLst/>
              <a:latin typeface="+mn-lt"/>
              <a:ea typeface="+mn-ea"/>
              <a:cs typeface="+mn-cs"/>
            </a:rPr>
            <a:t>                                                                      </a:t>
          </a:r>
          <a:r>
            <a:rPr lang="en-US" sz="1400" b="1" cap="none" spc="50">
              <a:ln w="0"/>
              <a:solidFill>
                <a:srgbClr val="FF0000"/>
              </a:solidFill>
              <a:effectLst>
                <a:innerShdw blurRad="63500" dist="50800" dir="13500000">
                  <a:srgbClr val="000000">
                    <a:alpha val="50000"/>
                  </a:srgbClr>
                </a:innerShdw>
              </a:effectLst>
              <a:latin typeface="+mn-lt"/>
              <a:ea typeface="+mn-ea"/>
              <a:cs typeface="+mn-cs"/>
            </a:rPr>
            <a:t>DATA FLOW</a:t>
          </a:r>
          <a:endParaRPr lang="en-US" sz="1400" b="1" cap="none" spc="50">
            <a:ln w="0"/>
            <a:solidFill>
              <a:srgbClr val="FF0000"/>
            </a:solidFill>
            <a:effectLst>
              <a:innerShdw blurRad="63500" dist="50800" dir="13500000">
                <a:srgbClr val="000000">
                  <a:alpha val="50000"/>
                </a:srgbClr>
              </a:innerShdw>
            </a:effectLst>
          </a:endParaRPr>
        </a:p>
        <a:p>
          <a:r>
            <a:rPr lang="en-US" sz="1100">
              <a:solidFill>
                <a:schemeClr val="lt1"/>
              </a:solidFill>
              <a:effectLst/>
              <a:latin typeface="+mn-lt"/>
              <a:ea typeface="+mn-ea"/>
              <a:cs typeface="+mn-cs"/>
            </a:rPr>
            <a:t>	</a:t>
          </a:r>
          <a:endParaRPr lang="en-US">
            <a:solidFill>
              <a:schemeClr val="tx1"/>
            </a:solidFill>
            <a:effectLst/>
          </a:endParaRPr>
        </a:p>
        <a:p>
          <a:pPr algn="ctr"/>
          <a:r>
            <a:rPr lang="en-US" sz="1600">
              <a:solidFill>
                <a:schemeClr val="tx1"/>
              </a:solidFill>
              <a:effectLst/>
              <a:latin typeface="+mn-lt"/>
              <a:ea typeface="+mn-ea"/>
              <a:cs typeface="+mn-cs"/>
            </a:rPr>
            <a:t>Transactions are recorded in </a:t>
          </a:r>
          <a:r>
            <a:rPr lang="en-US" sz="1600" b="1">
              <a:solidFill>
                <a:schemeClr val="accent2"/>
              </a:solidFill>
              <a:effectLst/>
              <a:latin typeface="+mn-lt"/>
              <a:ea typeface="+mn-ea"/>
              <a:cs typeface="+mn-cs"/>
            </a:rPr>
            <a:t>IND_TNX</a:t>
          </a:r>
        </a:p>
        <a:p>
          <a:pPr algn="ctr"/>
          <a:endParaRPr lang="en-US" sz="1100">
            <a:solidFill>
              <a:schemeClr val="tx1"/>
            </a:solidFill>
            <a:effectLst/>
            <a:latin typeface="+mn-lt"/>
            <a:ea typeface="+mn-ea"/>
            <a:cs typeface="+mn-cs"/>
          </a:endParaRPr>
        </a:p>
        <a:p>
          <a:pPr algn="ctr"/>
          <a:r>
            <a:rPr lang="en-US" sz="1100">
              <a:solidFill>
                <a:schemeClr val="tx1"/>
              </a:solidFill>
              <a:effectLst/>
              <a:latin typeface="+mn-lt"/>
              <a:ea typeface="+mn-ea"/>
              <a:cs typeface="+mn-cs"/>
            </a:rPr>
            <a:t>      </a:t>
          </a:r>
        </a:p>
        <a:p>
          <a:pPr algn="ctr"/>
          <a:endParaRPr lang="en-US" sz="1100">
            <a:solidFill>
              <a:schemeClr val="tx1"/>
            </a:solidFill>
            <a:effectLst/>
            <a:latin typeface="+mn-lt"/>
            <a:ea typeface="+mn-ea"/>
            <a:cs typeface="+mn-cs"/>
          </a:endParaRPr>
        </a:p>
        <a:p>
          <a:pPr algn="ctr"/>
          <a:r>
            <a:rPr lang="en-US" sz="1600">
              <a:solidFill>
                <a:schemeClr val="tx1"/>
              </a:solidFill>
              <a:effectLst/>
              <a:latin typeface="+mn-lt"/>
              <a:ea typeface="+mn-ea"/>
              <a:cs typeface="+mn-cs"/>
            </a:rPr>
            <a:t>Holdings are calculated in </a:t>
          </a:r>
          <a:r>
            <a:rPr lang="en-US" sz="1600" b="1">
              <a:solidFill>
                <a:schemeClr val="accent2"/>
              </a:solidFill>
              <a:effectLst/>
              <a:latin typeface="+mn-lt"/>
              <a:ea typeface="+mn-ea"/>
              <a:cs typeface="+mn-cs"/>
            </a:rPr>
            <a:t>IND_HOLDINGS </a:t>
          </a:r>
        </a:p>
        <a:p>
          <a:pPr algn="ctr"/>
          <a:endParaRPr lang="en-US" sz="1100">
            <a:solidFill>
              <a:schemeClr val="tx1"/>
            </a:solidFill>
            <a:effectLst/>
            <a:latin typeface="+mn-lt"/>
            <a:ea typeface="+mn-ea"/>
            <a:cs typeface="+mn-cs"/>
          </a:endParaRPr>
        </a:p>
        <a:p>
          <a:pPr algn="ctr"/>
          <a:endParaRPr lang="en-US" sz="1100">
            <a:solidFill>
              <a:schemeClr val="tx1"/>
            </a:solidFill>
            <a:effectLst/>
            <a:latin typeface="+mn-lt"/>
            <a:ea typeface="+mn-ea"/>
            <a:cs typeface="+mn-cs"/>
          </a:endParaRPr>
        </a:p>
        <a:p>
          <a:pPr algn="ctr"/>
          <a:endParaRPr lang="en-US" sz="1100">
            <a:solidFill>
              <a:schemeClr val="tx1"/>
            </a:solidFill>
            <a:effectLst/>
            <a:latin typeface="+mn-lt"/>
            <a:ea typeface="+mn-ea"/>
            <a:cs typeface="+mn-cs"/>
          </a:endParaRPr>
        </a:p>
        <a:p>
          <a:pPr algn="ctr"/>
          <a:r>
            <a:rPr lang="en-US" sz="1600">
              <a:solidFill>
                <a:schemeClr val="tx1"/>
              </a:solidFill>
              <a:effectLst/>
              <a:latin typeface="+mn-lt"/>
              <a:ea typeface="+mn-ea"/>
              <a:cs typeface="+mn-cs"/>
            </a:rPr>
            <a:t>Portfolio growth is tracked in </a:t>
          </a:r>
          <a:r>
            <a:rPr lang="en-US" sz="1600" b="1">
              <a:solidFill>
                <a:schemeClr val="accent2"/>
              </a:solidFill>
              <a:effectLst/>
              <a:latin typeface="+mn-lt"/>
              <a:ea typeface="+mn-ea"/>
              <a:cs typeface="+mn-cs"/>
            </a:rPr>
            <a:t>PORT_HISTORY</a:t>
          </a:r>
        </a:p>
        <a:p>
          <a:pPr algn="ctr"/>
          <a:endParaRPr lang="en-US" sz="1100">
            <a:solidFill>
              <a:schemeClr val="tx1"/>
            </a:solidFill>
            <a:effectLst/>
            <a:latin typeface="+mn-lt"/>
            <a:ea typeface="+mn-ea"/>
            <a:cs typeface="+mn-cs"/>
          </a:endParaRPr>
        </a:p>
        <a:p>
          <a:pPr algn="ctr"/>
          <a:endParaRPr lang="en-US" sz="1100">
            <a:solidFill>
              <a:schemeClr val="tx1"/>
            </a:solidFill>
            <a:effectLst/>
            <a:latin typeface="+mn-lt"/>
            <a:ea typeface="+mn-ea"/>
            <a:cs typeface="+mn-cs"/>
          </a:endParaRPr>
        </a:p>
        <a:p>
          <a:pPr algn="ctr"/>
          <a:endParaRPr lang="en-US" sz="1100">
            <a:solidFill>
              <a:schemeClr val="tx1"/>
            </a:solidFill>
            <a:effectLst/>
            <a:latin typeface="+mn-lt"/>
            <a:ea typeface="+mn-ea"/>
            <a:cs typeface="+mn-cs"/>
          </a:endParaRPr>
        </a:p>
        <a:p>
          <a:pPr algn="ctr"/>
          <a:r>
            <a:rPr lang="en-US" sz="1600">
              <a:solidFill>
                <a:schemeClr val="tx1"/>
              </a:solidFill>
              <a:effectLst/>
              <a:latin typeface="+mn-lt"/>
              <a:ea typeface="+mn-ea"/>
              <a:cs typeface="+mn-cs"/>
            </a:rPr>
            <a:t>Insights are visualized in</a:t>
          </a:r>
          <a:r>
            <a:rPr lang="en-US" sz="1100">
              <a:solidFill>
                <a:schemeClr val="tx1"/>
              </a:solidFill>
              <a:effectLst/>
              <a:latin typeface="+mn-lt"/>
              <a:ea typeface="+mn-ea"/>
              <a:cs typeface="+mn-cs"/>
            </a:rPr>
            <a:t> </a:t>
          </a:r>
          <a:r>
            <a:rPr lang="en-US" sz="1600" b="1">
              <a:solidFill>
                <a:schemeClr val="accent2"/>
              </a:solidFill>
              <a:effectLst/>
              <a:latin typeface="+mn-lt"/>
              <a:ea typeface="+mn-ea"/>
              <a:cs typeface="+mn-cs"/>
            </a:rPr>
            <a:t>SUMMARY</a:t>
          </a:r>
          <a:r>
            <a:rPr lang="en-US" sz="1100">
              <a:solidFill>
                <a:schemeClr val="tx1"/>
              </a:solidFill>
              <a:effectLst/>
              <a:latin typeface="+mn-lt"/>
              <a:ea typeface="+mn-ea"/>
              <a:cs typeface="+mn-cs"/>
            </a:rPr>
            <a:t>  </a:t>
          </a:r>
          <a:r>
            <a:rPr lang="en-US" sz="1600">
              <a:solidFill>
                <a:schemeClr val="tx1"/>
              </a:solidFill>
              <a:effectLst/>
              <a:latin typeface="+mn-lt"/>
              <a:ea typeface="+mn-ea"/>
              <a:cs typeface="+mn-cs"/>
            </a:rPr>
            <a:t>dashboard</a:t>
          </a:r>
        </a:p>
        <a:p>
          <a:pPr algn="l"/>
          <a:endParaRPr lang="en-US" sz="1100"/>
        </a:p>
      </xdr:txBody>
    </xdr:sp>
    <xdr:clientData/>
  </xdr:twoCellAnchor>
  <xdr:twoCellAnchor>
    <xdr:from>
      <xdr:col>18</xdr:col>
      <xdr:colOff>184220</xdr:colOff>
      <xdr:row>29</xdr:row>
      <xdr:rowOff>117230</xdr:rowOff>
    </xdr:from>
    <xdr:to>
      <xdr:col>18</xdr:col>
      <xdr:colOff>318198</xdr:colOff>
      <xdr:row>31</xdr:row>
      <xdr:rowOff>16747</xdr:rowOff>
    </xdr:to>
    <xdr:sp macro="" textlink="">
      <xdr:nvSpPr>
        <xdr:cNvPr id="15" name="Arrow: Down 14">
          <a:extLst>
            <a:ext uri="{FF2B5EF4-FFF2-40B4-BE49-F238E27FC236}">
              <a16:creationId xmlns:a16="http://schemas.microsoft.com/office/drawing/2014/main" id="{CCF5A5D3-7C6A-C1AB-AA11-14D8D501925E}"/>
            </a:ext>
          </a:extLst>
        </xdr:cNvPr>
        <xdr:cNvSpPr/>
      </xdr:nvSpPr>
      <xdr:spPr>
        <a:xfrm>
          <a:off x="11187165" y="5459604"/>
          <a:ext cx="133978" cy="26795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221063</xdr:colOff>
      <xdr:row>33</xdr:row>
      <xdr:rowOff>165212</xdr:rowOff>
    </xdr:from>
    <xdr:to>
      <xdr:col>18</xdr:col>
      <xdr:colOff>355041</xdr:colOff>
      <xdr:row>35</xdr:row>
      <xdr:rowOff>64729</xdr:rowOff>
    </xdr:to>
    <xdr:sp macro="" textlink="">
      <xdr:nvSpPr>
        <xdr:cNvPr id="16" name="Arrow: Down 15">
          <a:extLst>
            <a:ext uri="{FF2B5EF4-FFF2-40B4-BE49-F238E27FC236}">
              <a16:creationId xmlns:a16="http://schemas.microsoft.com/office/drawing/2014/main" id="{14B7C671-1D61-4ED7-8E4F-68E458CB0DF7}"/>
            </a:ext>
          </a:extLst>
        </xdr:cNvPr>
        <xdr:cNvSpPr/>
      </xdr:nvSpPr>
      <xdr:spPr>
        <a:xfrm>
          <a:off x="11224008" y="6244465"/>
          <a:ext cx="133978" cy="26795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231111</xdr:colOff>
      <xdr:row>38</xdr:row>
      <xdr:rowOff>32908</xdr:rowOff>
    </xdr:from>
    <xdr:to>
      <xdr:col>18</xdr:col>
      <xdr:colOff>365089</xdr:colOff>
      <xdr:row>39</xdr:row>
      <xdr:rowOff>116645</xdr:rowOff>
    </xdr:to>
    <xdr:sp macro="" textlink="">
      <xdr:nvSpPr>
        <xdr:cNvPr id="17" name="Arrow: Down 16">
          <a:extLst>
            <a:ext uri="{FF2B5EF4-FFF2-40B4-BE49-F238E27FC236}">
              <a16:creationId xmlns:a16="http://schemas.microsoft.com/office/drawing/2014/main" id="{629FE616-8AE3-4404-BAD3-3A065E805A5B}"/>
            </a:ext>
          </a:extLst>
        </xdr:cNvPr>
        <xdr:cNvSpPr/>
      </xdr:nvSpPr>
      <xdr:spPr>
        <a:xfrm>
          <a:off x="11234056" y="7033260"/>
          <a:ext cx="133978" cy="26795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340468</xdr:colOff>
      <xdr:row>10</xdr:row>
      <xdr:rowOff>184825</xdr:rowOff>
    </xdr:from>
    <xdr:to>
      <xdr:col>1</xdr:col>
      <xdr:colOff>2423808</xdr:colOff>
      <xdr:row>24</xdr:row>
      <xdr:rowOff>155642</xdr:rowOff>
    </xdr:to>
    <xdr:graphicFrame macro="">
      <xdr:nvGraphicFramePr>
        <xdr:cNvPr id="4" name="Chart 3">
          <a:extLst>
            <a:ext uri="{FF2B5EF4-FFF2-40B4-BE49-F238E27FC236}">
              <a16:creationId xmlns:a16="http://schemas.microsoft.com/office/drawing/2014/main" id="{990B151D-49ED-AFC7-3A65-9F8104B38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1807521</xdr:colOff>
      <xdr:row>8</xdr:row>
      <xdr:rowOff>462986</xdr:rowOff>
    </xdr:from>
    <xdr:to>
      <xdr:col>5</xdr:col>
      <xdr:colOff>1562584</xdr:colOff>
      <xdr:row>30</xdr:row>
      <xdr:rowOff>125391</xdr:rowOff>
    </xdr:to>
    <xdr:graphicFrame macro="">
      <xdr:nvGraphicFramePr>
        <xdr:cNvPr id="4" name="Chart 3">
          <a:extLst>
            <a:ext uri="{FF2B5EF4-FFF2-40B4-BE49-F238E27FC236}">
              <a16:creationId xmlns:a16="http://schemas.microsoft.com/office/drawing/2014/main" id="{2B2A4DE2-0972-B834-EF44-AE39A2C40F3C}"/>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325009</xdr:colOff>
      <xdr:row>1</xdr:row>
      <xdr:rowOff>19291</xdr:rowOff>
    </xdr:from>
    <xdr:to>
      <xdr:col>14</xdr:col>
      <xdr:colOff>163974</xdr:colOff>
      <xdr:row>13</xdr:row>
      <xdr:rowOff>135037</xdr:rowOff>
    </xdr:to>
    <xdr:graphicFrame macro="">
      <xdr:nvGraphicFramePr>
        <xdr:cNvPr id="2" name="Chart 1">
          <a:extLst>
            <a:ext uri="{FF2B5EF4-FFF2-40B4-BE49-F238E27FC236}">
              <a16:creationId xmlns:a16="http://schemas.microsoft.com/office/drawing/2014/main" id="{DEB3C735-B7D4-47AD-9AC0-44292A220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144683</xdr:colOff>
      <xdr:row>16</xdr:row>
      <xdr:rowOff>28938</xdr:rowOff>
    </xdr:from>
    <xdr:to>
      <xdr:col>14</xdr:col>
      <xdr:colOff>308657</xdr:colOff>
      <xdr:row>37</xdr:row>
      <xdr:rowOff>106103</xdr:rowOff>
    </xdr:to>
    <xdr:graphicFrame macro="">
      <xdr:nvGraphicFramePr>
        <xdr:cNvPr id="6" name="Chart 5">
          <a:extLst>
            <a:ext uri="{FF2B5EF4-FFF2-40B4-BE49-F238E27FC236}">
              <a16:creationId xmlns:a16="http://schemas.microsoft.com/office/drawing/2014/main" id="{17815E82-99F4-2AFB-77EB-F938BB5E3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498231</xdr:colOff>
      <xdr:row>1</xdr:row>
      <xdr:rowOff>55168</xdr:rowOff>
    </xdr:from>
    <xdr:to>
      <xdr:col>18</xdr:col>
      <xdr:colOff>566614</xdr:colOff>
      <xdr:row>17</xdr:row>
      <xdr:rowOff>136769</xdr:rowOff>
    </xdr:to>
    <xdr:graphicFrame macro="">
      <xdr:nvGraphicFramePr>
        <xdr:cNvPr id="2" name="Chart 7">
          <a:extLst>
            <a:ext uri="{FF2B5EF4-FFF2-40B4-BE49-F238E27FC236}">
              <a16:creationId xmlns:a16="http://schemas.microsoft.com/office/drawing/2014/main" id="{F4609DA1-5A72-797C-4277-E7952434B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305618</xdr:colOff>
      <xdr:row>19</xdr:row>
      <xdr:rowOff>9089</xdr:rowOff>
    </xdr:from>
    <xdr:to>
      <xdr:col>11</xdr:col>
      <xdr:colOff>32069</xdr:colOff>
      <xdr:row>34</xdr:row>
      <xdr:rowOff>59478</xdr:rowOff>
    </xdr:to>
    <xdr:graphicFrame macro="">
      <xdr:nvGraphicFramePr>
        <xdr:cNvPr id="4" name="Chart 3">
          <a:extLst>
            <a:ext uri="{FF2B5EF4-FFF2-40B4-BE49-F238E27FC236}">
              <a16:creationId xmlns:a16="http://schemas.microsoft.com/office/drawing/2014/main" id="{049A9F39-291D-0303-D9B8-03AF64BA5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207065</xdr:colOff>
      <xdr:row>19</xdr:row>
      <xdr:rowOff>161189</xdr:rowOff>
    </xdr:from>
    <xdr:to>
      <xdr:col>24</xdr:col>
      <xdr:colOff>35034</xdr:colOff>
      <xdr:row>35</xdr:row>
      <xdr:rowOff>29363</xdr:rowOff>
    </xdr:to>
    <xdr:graphicFrame macro="">
      <xdr:nvGraphicFramePr>
        <xdr:cNvPr id="5" name="Chart 4">
          <a:extLst>
            <a:ext uri="{FF2B5EF4-FFF2-40B4-BE49-F238E27FC236}">
              <a16:creationId xmlns:a16="http://schemas.microsoft.com/office/drawing/2014/main" id="{BF234843-52B3-9EC4-996B-CDA5C534C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396089</xdr:colOff>
      <xdr:row>6</xdr:row>
      <xdr:rowOff>61865</xdr:rowOff>
    </xdr:from>
    <xdr:to>
      <xdr:col>4</xdr:col>
      <xdr:colOff>388544</xdr:colOff>
      <xdr:row>21</xdr:row>
      <xdr:rowOff>89025</xdr:rowOff>
    </xdr:to>
    <xdr:graphicFrame macro="">
      <xdr:nvGraphicFramePr>
        <xdr:cNvPr id="2" name="Chart 1">
          <a:extLst>
            <a:ext uri="{FF2B5EF4-FFF2-40B4-BE49-F238E27FC236}">
              <a16:creationId xmlns:a16="http://schemas.microsoft.com/office/drawing/2014/main" id="{B9B428E6-C10B-7427-5AB2-57CAB736B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690326</xdr:colOff>
      <xdr:row>6</xdr:row>
      <xdr:rowOff>54320</xdr:rowOff>
    </xdr:from>
    <xdr:to>
      <xdr:col>10</xdr:col>
      <xdr:colOff>995881</xdr:colOff>
      <xdr:row>21</xdr:row>
      <xdr:rowOff>81480</xdr:rowOff>
    </xdr:to>
    <xdr:graphicFrame macro="">
      <xdr:nvGraphicFramePr>
        <xdr:cNvPr id="3" name="Chart 2">
          <a:extLst>
            <a:ext uri="{FF2B5EF4-FFF2-40B4-BE49-F238E27FC236}">
              <a16:creationId xmlns:a16="http://schemas.microsoft.com/office/drawing/2014/main" id="{43ADD258-0DA9-CA34-18AF-702E61F89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64129</xdr:colOff>
      <xdr:row>0</xdr:row>
      <xdr:rowOff>92044</xdr:rowOff>
    </xdr:from>
    <xdr:to>
      <xdr:col>16</xdr:col>
      <xdr:colOff>1580584</xdr:colOff>
      <xdr:row>14</xdr:row>
      <xdr:rowOff>81482</xdr:rowOff>
    </xdr:to>
    <xdr:graphicFrame macro="">
      <xdr:nvGraphicFramePr>
        <xdr:cNvPr id="4" name="Chart 3">
          <a:extLst>
            <a:ext uri="{FF2B5EF4-FFF2-40B4-BE49-F238E27FC236}">
              <a16:creationId xmlns:a16="http://schemas.microsoft.com/office/drawing/2014/main" id="{8790ED62-0343-4123-E6D9-EEF587E0D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144780</xdr:colOff>
      <xdr:row>0</xdr:row>
      <xdr:rowOff>114300</xdr:rowOff>
    </xdr:from>
    <xdr:to>
      <xdr:col>16</xdr:col>
      <xdr:colOff>586740</xdr:colOff>
      <xdr:row>43</xdr:row>
      <xdr:rowOff>154608</xdr:rowOff>
    </xdr:to>
    <xdr:sp macro="" textlink="">
      <xdr:nvSpPr>
        <xdr:cNvPr id="2" name="TextBox 1">
          <a:extLst>
            <a:ext uri="{FF2B5EF4-FFF2-40B4-BE49-F238E27FC236}">
              <a16:creationId xmlns:a16="http://schemas.microsoft.com/office/drawing/2014/main" id="{D5FFA133-F62A-3F93-6038-424C27DB4B0A}"/>
            </a:ext>
          </a:extLst>
        </xdr:cNvPr>
        <xdr:cNvSpPr txBox="1"/>
      </xdr:nvSpPr>
      <xdr:spPr>
        <a:xfrm>
          <a:off x="144780" y="114300"/>
          <a:ext cx="10160221" cy="8113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Invested SUMMARY </a:t>
          </a:r>
          <a:r>
            <a:rPr lang="en-US" sz="1400"/>
            <a:t>=SUM(IND_HOLDINGS!E:E) Calculates the total capital invested across all assets in the portfolio.</a:t>
          </a:r>
        </a:p>
        <a:p>
          <a:endParaRPr lang="en-US" sz="1400"/>
        </a:p>
        <a:p>
          <a:r>
            <a:rPr lang="en-US" sz="1400" b="1"/>
            <a:t>Current Portfolio Value SUMMARY </a:t>
          </a:r>
          <a:r>
            <a:rPr lang="en-US" sz="1400"/>
            <a:t>=SUM(IND_HOLDINGS!G:G) Calculates the total current market value of the portfolio.</a:t>
          </a:r>
        </a:p>
        <a:p>
          <a:endParaRPr lang="en-US" sz="1400"/>
        </a:p>
        <a:p>
          <a:r>
            <a:rPr lang="en-US" sz="1400" b="1"/>
            <a:t>Total Profit SUMMARY </a:t>
          </a:r>
          <a:r>
            <a:rPr lang="en-US" sz="1400"/>
            <a:t>=SUM(IND_HOLDINGS!I:I) Calculates the overall profit or loss from all assets.</a:t>
          </a:r>
        </a:p>
        <a:p>
          <a:endParaRPr lang="en-US" sz="1400"/>
        </a:p>
        <a:p>
          <a:r>
            <a:rPr lang="en-US" sz="1400" b="1"/>
            <a:t>Portfolio Return % SUMMARY </a:t>
          </a:r>
          <a:r>
            <a:rPr lang="en-US" sz="1400"/>
            <a:t>=SUM(IND_HOLDINGS!I:I)/SUM(IND_HOLDINGS!E:E) Calculates the overall percentage return of the portfolio.</a:t>
          </a:r>
        </a:p>
        <a:p>
          <a:endParaRPr lang="en-US" sz="1400"/>
        </a:p>
        <a:p>
          <a:r>
            <a:rPr lang="en-US" sz="1400" b="1"/>
            <a:t>First Investment Date SUMMARY </a:t>
          </a:r>
          <a:r>
            <a:rPr lang="en-US" sz="1400"/>
            <a:t>=MIN(PORT_HISTORY!A:A) Finds the earliest investment date recorded in the portfolio history.</a:t>
          </a:r>
        </a:p>
        <a:p>
          <a:endParaRPr lang="en-US" sz="1400"/>
        </a:p>
        <a:p>
          <a:r>
            <a:rPr lang="en-US" sz="1400" b="1"/>
            <a:t>Days Investing SUMMARY </a:t>
          </a:r>
          <a:r>
            <a:rPr lang="en-US" sz="1400"/>
            <a:t>=TODAY()-MIN(PORT_HISTORY!A:A) Calculates how many days the portfolio has been active.</a:t>
          </a:r>
        </a:p>
        <a:p>
          <a:endParaRPr lang="en-US" sz="1400"/>
        </a:p>
        <a:p>
          <a:r>
            <a:rPr lang="en-US" sz="1400" b="1"/>
            <a:t>All Time High Portfolio Value SUMMARY </a:t>
          </a:r>
          <a:r>
            <a:rPr lang="en-US" sz="1400"/>
            <a:t>=MAX(PORT_HISTORY!C:C) Finds the highest portfolio value reached over time.</a:t>
          </a:r>
        </a:p>
        <a:p>
          <a:endParaRPr lang="en-US" sz="1400"/>
        </a:p>
        <a:p>
          <a:r>
            <a:rPr lang="en-US" sz="1400" b="1"/>
            <a:t>Highest Profit Recorded SUMMARY </a:t>
          </a:r>
          <a:r>
            <a:rPr lang="en-US" sz="1400"/>
            <a:t>=MAX(PORT_HISTORY!D:D) Finds the highest profit recorded in portfolio history.</a:t>
          </a:r>
        </a:p>
        <a:p>
          <a:endParaRPr lang="en-US" sz="1400"/>
        </a:p>
        <a:p>
          <a:r>
            <a:rPr lang="en-US" sz="1400" b="1"/>
            <a:t>Profit Calculation PORT_HISTORY </a:t>
          </a:r>
          <a:r>
            <a:rPr lang="en-US" sz="1400"/>
            <a:t>=C2-B2 Calculates profit by subtracting invested capital from portfolio value.</a:t>
          </a:r>
        </a:p>
        <a:p>
          <a:endParaRPr lang="en-US" sz="1400"/>
        </a:p>
        <a:p>
          <a:r>
            <a:rPr lang="en-US" sz="1400" b="1"/>
            <a:t>Return % Calculation PORT_HISTORY </a:t>
          </a:r>
          <a:r>
            <a:rPr lang="en-US" sz="1400"/>
            <a:t>=IF(B2=0,"",D2/B2) Calculates portfolio return percentage while avoiding divide-by-zero errors.</a:t>
          </a:r>
        </a:p>
        <a:p>
          <a:endParaRPr lang="en-US" sz="1400"/>
        </a:p>
        <a:p>
          <a:r>
            <a:rPr lang="en-US" sz="1400"/>
            <a:t>Average Price Calculation IND_HOLDINGS Total Trade Value / Quantity Calculates the average purchase price of each asset.</a:t>
          </a:r>
        </a:p>
        <a:p>
          <a:endParaRPr lang="en-US" sz="1400"/>
        </a:p>
        <a:p>
          <a:r>
            <a:rPr lang="en-US" sz="1400" b="1"/>
            <a:t>Current Value Calculation IND_HOLDINGS </a:t>
          </a:r>
          <a:r>
            <a:rPr lang="en-US" sz="1400"/>
            <a:t>=Quantity * Live Price Calculates the current market value of each asset.</a:t>
          </a:r>
        </a:p>
        <a:p>
          <a:endParaRPr lang="en-US" sz="1400"/>
        </a:p>
        <a:p>
          <a:r>
            <a:rPr lang="en-US" sz="1400" b="1"/>
            <a:t>Profit / Loss per Asset IND_HOLDINGS </a:t>
          </a:r>
          <a:r>
            <a:rPr lang="en-US" sz="1400"/>
            <a:t>=Current Value - Invested Value Calculates profit or loss for each asset.</a:t>
          </a:r>
        </a:p>
        <a:p>
          <a:endParaRPr lang="en-US" sz="1400"/>
        </a:p>
        <a:p>
          <a:r>
            <a:rPr lang="en-US" sz="1400" b="1"/>
            <a:t>Return % per Asset IND_HOLDINGS </a:t>
          </a:r>
          <a:r>
            <a:rPr lang="en-US" sz="1400"/>
            <a:t>=Profit / Invested Value Calculates percentage return for each asset.</a:t>
          </a:r>
        </a:p>
        <a:p>
          <a:endParaRPr lang="en-US" sz="1400"/>
        </a:p>
        <a:p>
          <a:r>
            <a:rPr lang="en-US" sz="1400" b="1"/>
            <a:t>Portfolio Weight IND_HOLDINGS </a:t>
          </a:r>
          <a:r>
            <a:rPr lang="en-US" sz="1400"/>
            <a:t>=Current Value / Total Portfolio Value Calculates asset allocation percentage in the portfolio.</a:t>
          </a:r>
        </a:p>
        <a:p>
          <a:endParaRPr lang="en-US" sz="11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9">
  <rv s="0">
    <v>en-US</v>
    <v>ccj1tc</v>
    <v>268435456</v>
    <v>1</v>
    <v>Powered by Refinitiv</v>
    <v>0</v>
    <v>Zerodha Gold ETF (XNSE:GOLDCASE)</v>
    <v>2</v>
    <v>3</v>
    <v>Finance</v>
    <v>4</v>
    <v>27.94</v>
    <v>12.83</v>
    <v>0.12</v>
    <v>4.7710000000000001E-3</v>
    <v>INR</v>
    <v>National Stock Exchange of India</v>
    <v>XNSE</v>
    <v>3.0999999999999999E-3</v>
    <v>25.9</v>
    <v>ETF</v>
    <v>46092.479120370372</v>
    <v>25.09</v>
    <v>22275854000</v>
    <v>Zerodha Gold ETF</v>
    <v>25.9</v>
    <v>25.15</v>
    <v>25.27</v>
    <v>GOLDCASE</v>
    <v>Zerodha Gold ETF (XNSE:GOLDCASE)</v>
    <v>7593345</v>
  </rv>
  <rv s="1">
    <v>0</v>
  </rv>
  <rv s="0">
    <v>en-US</v>
    <v>cc74a2</v>
    <v>268435456</v>
    <v>1</v>
    <v>Powered by Refinitiv</v>
    <v>0</v>
    <v>Tata Silver ETF (XNSE:TATSILV)</v>
    <v>2</v>
    <v>3</v>
    <v>Finance</v>
    <v>4</v>
    <v>35.1</v>
    <v>8.56</v>
    <v>-0.5</v>
    <v>-1.9223000000000001E-2</v>
    <v>INR</v>
    <v>National Stock Exchange of India</v>
    <v>XNSE</v>
    <v>4.5999999999999999E-3</v>
    <v>26.2</v>
    <v>ETF</v>
    <v>46092.479120370372</v>
    <v>25.35</v>
    <v>56709131879.716003</v>
    <v>Tata Silver ETF</v>
    <v>25.98</v>
    <v>26.01</v>
    <v>25.51</v>
    <v>TATSILV</v>
    <v>Tata Silver ETF (XNSE:TATSILV)</v>
    <v>119263163</v>
  </rv>
  <rv s="1">
    <v>2</v>
  </rv>
  <rv s="0">
    <v>en-US</v>
    <v>cgat2w</v>
    <v>268435456</v>
    <v>1</v>
    <v>Powered by Refinitiv</v>
    <v>0</v>
    <v>Zerodha Silver ETF (XNSE:SILVERCASE)</v>
    <v>2</v>
    <v>3</v>
    <v>Finance</v>
    <v>4</v>
    <v>38.01</v>
    <v>9</v>
    <v>-0.44</v>
    <v>-1.6212000000000001E-2</v>
    <v>INR</v>
    <v>National Stock Exchange of India</v>
    <v>XNSE</v>
    <v>3.3E-3</v>
    <v>27.49</v>
    <v>ETF</v>
    <v>46092.479143518518</v>
    <v>26.57</v>
    <v>16226753000</v>
    <v>Zerodha Silver ETF</v>
    <v>27.49</v>
    <v>27.14</v>
    <v>26.7</v>
    <v>SILVERCASE</v>
    <v>Zerodha Silver ETF (XNSE:SILVERCASE)</v>
    <v>12420745</v>
  </rv>
  <rv s="1">
    <v>4</v>
  </rv>
  <rv s="2">
    <v>https://www.bing.com/financeapi/forcetrigger?t=ahhxpr&amp;q=XNSE%3aGOLDBEES&amp;form=skydnc</v>
    <v>Learn more on Bing</v>
  </rv>
  <rv s="3">
    <v>en-US</v>
    <v>ahhxpr</v>
    <v>268435456</v>
    <v>1</v>
    <v>Powered by Refinitiv</v>
    <v>5</v>
    <v>Nippon India ETF Gold BeES (XNSE:GOLDBEES)</v>
    <v>6</v>
    <v>7</v>
    <v>Finance</v>
    <v>4</v>
    <v>148.13999999999999</v>
    <v>65.849999999999994</v>
    <v>0.87809999999999999</v>
    <v>0.51</v>
    <v>3.8579999999999999E-3</v>
    <v>INR</v>
    <v>National Stock Exchange of India</v>
    <v>XNSE</v>
    <v>8.0000000000000002E-3</v>
    <v>133.44</v>
    <v>ETF</v>
    <v>46092.479108796295</v>
    <v>6</v>
    <v>132.33000000000001</v>
    <v>590073486000</v>
    <v>Nippon India ETF Gold BeES</v>
    <v>133.43</v>
    <v>132.19999999999999</v>
    <v>132.71</v>
    <v>GOLDBEES</v>
    <v>Nippon India ETF Gold BeES (XNSE:GOLDBEES)</v>
    <v>32157892</v>
  </rv>
  <rv s="1">
    <v>7</v>
  </rv>
  <rv s="2">
    <v>https://www.bing.com/financeapi/forcetrigger?t=c53tpr&amp;q=XNSE%3aSILVERBEES&amp;form=skydnc</v>
    <v>Learn more on Bing</v>
  </rv>
  <rv s="3">
    <v>en-US</v>
    <v>c53tpr</v>
    <v>268435456</v>
    <v>1</v>
    <v>Powered by Refinitiv</v>
    <v>5</v>
    <v>Nippon India Silver ETF (XNSE:SILVERBEES)</v>
    <v>6</v>
    <v>7</v>
    <v>Finance</v>
    <v>4</v>
    <v>360</v>
    <v>77.55</v>
    <v>1.2081999999999999</v>
    <v>-4.66</v>
    <v>-1.8178E-2</v>
    <v>INR</v>
    <v>National Stock Exchange of India</v>
    <v>XNSE</v>
    <v>5.5000000000000005E-3</v>
    <v>256.95</v>
    <v>ETF</v>
    <v>46092.479085648149</v>
    <v>9</v>
    <v>250.72</v>
    <v>352091865000</v>
    <v>Nippon India Silver ETF</v>
    <v>256.35000000000002</v>
    <v>256.35000000000002</v>
    <v>251.69</v>
    <v>SILVERBEES</v>
    <v>Nippon India Silver ETF (XNSE:SILVERBEES)</v>
    <v>43001167</v>
  </rv>
  <rv s="1">
    <v>10</v>
  </rv>
  <rv s="0">
    <v>en-US</v>
    <v>cc74cw</v>
    <v>268435456</v>
    <v>1</v>
    <v>Powered by Refinitiv</v>
    <v>0</v>
    <v>Tata Gold ETF (XNSE:TATAGOLD)</v>
    <v>2</v>
    <v>3</v>
    <v>Finance</v>
    <v>4</v>
    <v>17.7</v>
    <v>7.14</v>
    <v>0.03</v>
    <v>1.934E-3</v>
    <v>INR</v>
    <v>National Stock Exchange of India</v>
    <v>XNSE</v>
    <v>3.9000000000000003E-3</v>
    <v>15.71</v>
    <v>ETF</v>
    <v>46092.479120370372</v>
    <v>15.42</v>
    <v>58676396842.480003</v>
    <v>Tata Gold ETF</v>
    <v>15.71</v>
    <v>15.51</v>
    <v>15.54</v>
    <v>TATAGOLD</v>
    <v>Tata Gold ETF (XNSE:TATAGOLD)</v>
    <v>60256750</v>
  </rv>
  <rv s="1">
    <v>12</v>
  </rv>
  <rv s="4">
    <v>en-US</v>
    <v>c7sy4c</v>
    <v>268435456</v>
    <v>1</v>
    <v>Powered by Refinitiv</v>
    <v>8</v>
    <v>SUZLON ENERGY LIMITED (XNSE:SUZLONPP)</v>
    <v>9</v>
    <v>10</v>
    <v>Finance</v>
    <v>11</v>
    <v>1.4464999999999999</v>
    <v>INR</v>
    <v>Suzlon Energy Limited is a renewable energy solutions provider. The Company specializes in the design, development, manufacturing, installation and maintenance of wind turbines and related renewable energy components. It manufactures wind turbine generators (WTGs) and related components of various capacities. Its products include S144 Wind Turbine Generator, S133 Wind Turbine Generator and S120 Wind Turbine Generator. The S144 is extendable depending on the site’s wind conditions. These products offer hub heights up to 160 meters (m). The fleet delivers 40-43% higher generation over the S120. 10-12% higher generation over S133. The S133 is extendable up to 3.0 megawatts (MW) depending on the site's wind conditions. The S120 2.1 MW is available in three variants with towers up to 140 m hub height. Its services include operations and maintenance services, leadership, optimization and digitalization, value-added services and products, and multi-brand operation and maintenance services.</v>
    <v>6662</v>
    <v>National Stock Exchange of India</v>
    <v>XNSE</v>
    <v>XNSE</v>
    <v>One Earth, Hadapsar, PUNE, MAHARASHTRA, 411028 IN</v>
    <v>Renewable Energy</v>
    <v>Stock</v>
    <v>44986</v>
    <v>SUZLON ENERGY LIMITED</v>
    <v>SUZLON ENERGY LIMITED</v>
    <v>0</v>
    <v>5.5</v>
    <v>13723240000</v>
    <v>SUZLONPP</v>
    <v>SUZLON ENERGY LIMITED (XNSE:SUZLONPP)</v>
    <v>72845710</v>
    <v>1995</v>
  </rv>
  <rv s="1">
    <v>14</v>
  </rv>
  <rv s="2">
    <v>https://www.bing.com/financeapi/forcetrigger?t=ahidc7&amp;q=XNSE%3aIOB&amp;form=skydnc</v>
    <v>Learn more on Bing</v>
  </rv>
  <rv s="5">
    <v>en-US</v>
    <v>ahidc7</v>
    <v>268435456</v>
    <v>1</v>
    <v>Powered by Refinitiv</v>
    <v>12</v>
    <v>Indian Overseas Bank (XNSE:IOB)</v>
    <v>13</v>
    <v>14</v>
    <v>Finance</v>
    <v>4</v>
    <v>45.15</v>
    <v>32.6</v>
    <v>0.43559999999999999</v>
    <v>-0.23</v>
    <v>-6.8069999999999997E-3</v>
    <v>INR</v>
    <v>Indian Overseas Bank (the Bank) is engaged in the business of banking. The Bank's segments include Treasury, Corporate/Wholesale Banking, Retail Banking and Other Banking Operations. The Bank offers a comprehensive suite of financial products and services across retail, agriculture, Micro, Small and Medium Enterprises (MSME), and corporate banking. The Bank caters to credit and deposit needs through a portfolio that includes housing loans, jewel loans, business finance, agri-credit, and Environmental, Social, and Governance (ESG)-linked products. Its personal banking services include savings bank, current accounts, term deposits, retail loans, and mortgages and digital banking. Its merchant banking division includes debenture trustee, banker to issue and others. Its digital banking services include Credit Card, Debit Card, Internet Banking, IOB Fastag, and IOB-Pay, among others. It operates overseas branches in Singapore, Colombo, Hong Kong, and Bangkok.</v>
    <v>20966</v>
    <v>National Stock Exchange of India</v>
    <v>XNSE</v>
    <v>XNSE</v>
    <v>762/763, Iob,, Anna Salai,, CHENNAI, TAMIL NADU, 600002 IN</v>
    <v>34.11</v>
    <v>Banking Services</v>
    <v>Stock</v>
    <v>46092.479097222225</v>
    <v>16</v>
    <v>33.409999999999997</v>
    <v>681105600000</v>
    <v>Indian Overseas Bank</v>
    <v>Indian Overseas Bank</v>
    <v>33.99</v>
    <v>13.2277</v>
    <v>33.79</v>
    <v>33.56</v>
    <v>19256590000</v>
    <v>IOB</v>
    <v>Indian Overseas Bank (XNSE:IOB)</v>
    <v>5226478</v>
    <v>8724230</v>
    <v>1937</v>
  </rv>
  <rv s="1">
    <v>17</v>
  </rv>
</rvData>
</file>

<file path=xl/richData/rdrichvaluestructure.xml><?xml version="1.0" encoding="utf-8"?>
<rvStructures xmlns="http://schemas.microsoft.com/office/spreadsheetml/2017/richdata" count="6">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linkedentity">
    <k n="%cvi" t="r"/>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Beta"/>
    <k n="Currency" t="s"/>
    <k n="Description" t="s"/>
    <k n="Employees"/>
    <k n="Exchange" t="s"/>
    <k n="Exchange abbreviation" t="s"/>
    <k n="ExchangeID" t="s"/>
    <k n="Headquarters" t="s"/>
    <k n="Industry" t="s"/>
    <k n="Instrument type" t="s"/>
    <k n="Last trade time"/>
    <k n="Name" t="s"/>
    <k n="Official name" t="s"/>
    <k n="P/E"/>
    <k n="Previous clos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1">
      <v t="s">%EntityServiceId</v>
      <v t="s">_Format</v>
      <v t="s">%IsRefreshable</v>
      <v t="s">%EntityCulture</v>
      <v t="s">%EntityId</v>
      <v t="s">_Icon</v>
      <v t="s">_Display</v>
      <v t="s">Name</v>
      <v t="s">Exchange</v>
      <v t="s">Official name</v>
      <v t="s">_SubLabel</v>
      <v t="s">Last trade time</v>
      <v t="s">Ticker symbol</v>
      <v t="s">Exchange abbreviation</v>
      <v t="s">Currency</v>
      <v t="s">Previous close</v>
      <v t="s">Volume average</v>
      <v t="s">Beta</v>
      <v t="s">P/E</v>
      <v t="s">Shares outstanding</v>
      <v t="s">Description</v>
      <v t="s">Employees</v>
      <v t="s">Headquarters</v>
      <v t="s">Industry</v>
      <v t="s">Instrument type</v>
      <v t="s">Year incorporated</v>
      <v t="s">_Flags</v>
      <v t="s">UniqueName</v>
      <v t="s">_DisplayString</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5">
    <spb s="0">
      <v>0</v>
      <v>Name</v>
    </spb>
    <spb s="1">
      <v>0</v>
      <v>0</v>
      <v>0</v>
    </spb>
    <spb s="2">
      <v>1</v>
      <v>1</v>
    </spb>
    <spb s="3">
      <v>1</v>
      <v>1</v>
      <v>2</v>
      <v>1</v>
      <v>1</v>
      <v>1</v>
      <v>3</v>
      <v>4</v>
      <v>5</v>
      <v>1</v>
      <v>1</v>
      <v>4</v>
      <v>1</v>
      <v>6</v>
      <v>7</v>
    </spb>
    <spb s="4">
      <v>Delayed 5 minutes</v>
      <v>from previous close</v>
      <v>from previous close</v>
      <v>GMT</v>
    </spb>
    <spb s="5">
      <v>1</v>
      <v>Name</v>
      <v>LearnMoreOnLink</v>
    </spb>
    <spb s="6">
      <v>1</v>
      <v>1</v>
      <v>1</v>
    </spb>
    <spb s="7">
      <v>1</v>
      <v>8</v>
      <v>1</v>
      <v>2</v>
      <v>1</v>
      <v>1</v>
      <v>1</v>
      <v>3</v>
      <v>4</v>
      <v>5</v>
      <v>1</v>
      <v>1</v>
      <v>4</v>
      <v>1</v>
      <v>6</v>
      <v>7</v>
    </spb>
    <spb s="0">
      <v>2</v>
      <v>Name</v>
    </spb>
    <spb s="8">
      <v>1</v>
      <v>1</v>
      <v>1</v>
    </spb>
    <spb s="9">
      <v>8</v>
      <v>8</v>
      <v>2</v>
      <v>3</v>
      <v>1</v>
      <v>3</v>
      <v>9</v>
      <v>10</v>
      <v>7</v>
      <v>3</v>
    </spb>
    <spb s="10">
      <v>GMT</v>
    </spb>
    <spb s="5">
      <v>3</v>
      <v>Name</v>
      <v>LearnMoreOnLink</v>
    </spb>
    <spb s="11">
      <v>1</v>
      <v>1</v>
      <v>1</v>
      <v>1</v>
    </spb>
    <spb s="12">
      <v>1</v>
      <v>8</v>
      <v>8</v>
      <v>1</v>
      <v>2</v>
      <v>1</v>
      <v>1</v>
      <v>1</v>
      <v>3</v>
      <v>3</v>
      <v>4</v>
      <v>5</v>
      <v>1</v>
      <v>1</v>
      <v>1</v>
      <v>3</v>
      <v>6</v>
      <v>10</v>
      <v>7</v>
      <v>3</v>
    </spb>
  </spbData>
</supportingPropertyBags>
</file>

<file path=xl/richData/rdsupportingpropertybagstructure.xml><?xml version="1.0" encoding="utf-8"?>
<spbStructures xmlns="http://schemas.microsoft.com/office/spreadsheetml/2017/richdata2" count="13">
  <s>
    <k n="^Order" t="spba"/>
    <k n="TitleProperty" t="s"/>
  </s>
  <s>
    <k n="ShowInCardView" t="b"/>
    <k n="ShowInDotNotation" t="b"/>
    <k n="ShowInAutoComplete" t="b"/>
  </s>
  <s>
    <k n="UniqueName" t="spb"/>
    <k n="`%ProviderInfo" t="spb"/>
  </s>
  <s>
    <k n="Low" t="i"/>
    <k n="High" t="i"/>
    <k n="Name" t="i"/>
    <k n="Open" t="i"/>
    <k n="Price" t="i"/>
    <k n="Change" t="i"/>
    <k n="Volume" t="i"/>
    <k n="Change (%)" t="i"/>
    <k n="Market cap" t="i"/>
    <k n="52 week low" t="i"/>
    <k n="52 week high" t="i"/>
    <k n="Expense ratio" t="i"/>
    <k n="Previous close" t="i"/>
    <k n="Last trade time" t="i"/>
    <k n="`%EntityServiceId" t="i"/>
  </s>
  <s>
    <k n="Price" t="s"/>
    <k n="Change" t="s"/>
    <k n="Change (%)" t="s"/>
    <k n="Last trade time" t="s"/>
  </s>
  <s>
    <k n="^Order" t="spba"/>
    <k n="TitleProperty" t="s"/>
    <k n="SubTitleProperty"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ExchangeID" t="spb"/>
    <k n="UniqueName" t="spb"/>
    <k n="`%ProviderInfo" t="spb"/>
  </s>
  <s>
    <k n="P/E" t="i"/>
    <k n="Beta" t="i"/>
    <k n="Name" t="i"/>
    <k n="Employees" t="i"/>
    <k n="Previous close" t="i"/>
    <k n="Volume average" t="i"/>
    <k n="Last trade time" t="i"/>
    <k n="Year incorporated" t="i"/>
    <k n="`%EntityServiceId" t="i"/>
    <k n="Shares outstanding" t="i"/>
  </s>
  <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h:mm"/>
    </x:dxf>
    <x:dxf>
      <x:numFmt numFmtId="14" formatCode="0.00%"/>
    </x:dxf>
    <x:dxf>
      <x:numFmt numFmtId="3" formatCode="#,##0"/>
    </x:dxf>
    <x:dxf>
      <x:numFmt numFmtId="4" formatCode="#,##0.00"/>
    </x:dxf>
    <x:dxf>
      <x:numFmt numFmtId="19" formatCode="m/d/yyyy"/>
    </x:dxf>
    <x:dxf>
      <x:numFmt numFmtId="1" formatCode="0"/>
    </x:dxf>
  </dxfs>
  <richProperties>
    <rPr n="NumberFormat" t="s"/>
    <rPr n="IsTitleField" t="b"/>
  </richProperties>
  <richStyles>
    <rSty dxfid="1">
      <rpv i="0" xml:space="preserve">_ [$₹-as-IN] * #,##0.00_ ;_ [$₹-as-IN] * -#,##0.00_ ;_ [$₹-as-IN] * "-"??_ ;_ @_ </rpv>
    </rSty>
    <rSty>
      <rpv i="1">1</rpv>
    </rSty>
    <rSty dxfid="4">
      <rpv i="0">#,##0</rpv>
    </rSty>
    <rSty dxfid="3"/>
    <rSty dxfid="1">
      <rpv i="0" xml:space="preserve">_ [$₹-as-IN] * #,##0_ ;_ [$₹-as-IN] * -#,##0_ ;_ [$₹-as-IN] * "-"_ ;_ @_ </rpv>
    </rSty>
    <rSty dxfid="2"/>
    <rSty dxfid="0">
      <rpv i="0">0.00</rpv>
    </rSty>
    <rSty dxfid="5">
      <rpv i="0">#,##0.00</rpv>
    </rSty>
    <rSty dxfid="6"/>
    <rSty dxfid="7">
      <rpv i="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653B3E-DBC3-4D65-975C-8A5029AC7455}" name="tbl_assets" displayName="tbl_assets" ref="A1:F18" totalsRowShown="0" headerRowDxfId="37" headerRowBorderDxfId="36" tableBorderDxfId="35" totalsRowBorderDxfId="34">
  <autoFilter ref="A1:F18" xr:uid="{6E653B3E-DBC3-4D65-975C-8A5029AC7455}"/>
  <tableColumns count="6">
    <tableColumn id="1" xr3:uid="{CCE03D30-AFCF-4189-A873-6592A5D34A2A}" name="Asset Name" dataDxfId="33"/>
    <tableColumn id="2" xr3:uid="{FA7F4D58-21FD-49CE-ACE9-66FE5BE06CA4}" name="Ticker" dataDxfId="32"/>
    <tableColumn id="3" xr3:uid="{0968F5CB-7492-43B2-A980-D20211CD2FD6}" name="Region" dataDxfId="31"/>
    <tableColumn id="4" xr3:uid="{1738A349-53E7-4946-AEB4-FBA9FFA6B0F8}" name="Asset Type" dataDxfId="30"/>
    <tableColumn id="5" xr3:uid="{3AA7FCC1-F554-4C59-BBD1-1AA0D34C2B19}" name="Currency" dataDxfId="29"/>
    <tableColumn id="6" xr3:uid="{F9548017-1F09-48D6-ADF6-810CA49FEA42}" name="Active" dataDxfId="2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16BF23-CA19-4FFA-B2D2-168DF206DA42}" name="IND_TNX" displayName="IND_TNX" ref="A1:G48" totalsRowShown="0" headerRowDxfId="27" headerRowBorderDxfId="26" tableBorderDxfId="25" totalsRowBorderDxfId="24">
  <autoFilter ref="A1:G48" xr:uid="{E016BF23-CA19-4FFA-B2D2-168DF206DA42}"/>
  <tableColumns count="7">
    <tableColumn id="1" xr3:uid="{2BC41947-A568-4490-B23D-A24963F048B0}" name="Date" dataDxfId="23"/>
    <tableColumn id="2" xr3:uid="{7AD53192-C873-4F5E-825A-D7C2945B67FD}" name="Asset Name" dataDxfId="22"/>
    <tableColumn id="3" xr3:uid="{AF62E6E5-BC9E-4F0A-A453-E7A2DC3F824B}" name="Ticker" dataDxfId="21"/>
    <tableColumn id="4" xr3:uid="{DFC3A047-2B7F-4A10-B5FD-B9781E055731}" name="Type" dataDxfId="20"/>
    <tableColumn id="5" xr3:uid="{1E914A80-79F8-4AE8-B609-50E3DF459151}" name="Quantity" dataDxfId="19"/>
    <tableColumn id="6" xr3:uid="{72B10482-812E-4918-9831-7E863A58FF52}" name="Trade Value" dataDxfId="18">
      <calculatedColumnFormula>IF(D2="SELL",-E2*G2,E2*G2)</calculatedColumnFormula>
    </tableColumn>
    <tableColumn id="7" xr3:uid="{3025CB53-F872-4509-9B63-3E432D8BA260}" name="Trade Price" dataDxfId="1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259824-D8CB-4A95-87D6-F0E693408C79}" name="Table2" displayName="Table2" ref="A1:E12" totalsRowShown="0" headerRowDxfId="16" dataDxfId="14" headerRowBorderDxfId="15" tableBorderDxfId="13" headerRowCellStyle="Percent">
  <autoFilter ref="A1:E12" xr:uid="{3A259824-D8CB-4A95-87D6-F0E693408C79}"/>
  <tableColumns count="5">
    <tableColumn id="1" xr3:uid="{9547A9D9-81F8-4E0C-BB1C-77E02FF2853C}" name="Date" dataDxfId="12"/>
    <tableColumn id="2" xr3:uid="{22A582B1-6FA2-4492-9B0A-5BB0B2D639C1}" name="Invested" dataDxfId="11"/>
    <tableColumn id="3" xr3:uid="{A1059F38-1F8B-4E8B-BF81-935391BF164C}" name="Portfolio Value" dataDxfId="10"/>
    <tableColumn id="4" xr3:uid="{81BD2CCE-AD55-4FD1-9445-8A6F35ED895E}" name="Profit" dataDxfId="9">
      <calculatedColumnFormula>C2-B2</calculatedColumnFormula>
    </tableColumn>
    <tableColumn id="5" xr3:uid="{EA563CAA-D5A8-4256-ACAA-1510F2D17571}" name="Return %" dataDxfId="8" dataCellStyle="Percent">
      <calculatedColumnFormula>IF(B2=0,"",D2/B2)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BCD7-FC5A-46BE-916D-25C8904D4C7B}">
  <dimension ref="A1"/>
  <sheetViews>
    <sheetView topLeftCell="A97" zoomScale="91" workbookViewId="0">
      <selection activeCell="D121" sqref="D121"/>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EF93-0C25-4A5D-B0E4-14F5BFDDD534}">
  <sheetPr codeName="Sheet1"/>
  <dimension ref="A1:F18"/>
  <sheetViews>
    <sheetView zoomScaleNormal="100" workbookViewId="0">
      <pane ySplit="1" topLeftCell="A2" activePane="bottomLeft" state="frozen"/>
      <selection pane="bottomLeft" activeCell="A21" sqref="A21"/>
    </sheetView>
  </sheetViews>
  <sheetFormatPr defaultRowHeight="14.4"/>
  <cols>
    <col min="1" max="1" width="61.5546875" bestFit="1" customWidth="1"/>
    <col min="2" max="2" width="47.21875" customWidth="1"/>
    <col min="3" max="3" width="10.21875" customWidth="1"/>
    <col min="4" max="4" width="17.33203125" customWidth="1"/>
    <col min="5" max="5" width="22.5546875" customWidth="1"/>
    <col min="6" max="6" width="17.21875" customWidth="1"/>
  </cols>
  <sheetData>
    <row r="1" spans="1:6" ht="15.6">
      <c r="A1" s="22" t="s">
        <v>1</v>
      </c>
      <c r="B1" s="19" t="s">
        <v>2</v>
      </c>
      <c r="C1" s="19" t="s">
        <v>56</v>
      </c>
      <c r="D1" s="19" t="s">
        <v>57</v>
      </c>
      <c r="E1" s="19" t="s">
        <v>71</v>
      </c>
      <c r="F1" s="20" t="s">
        <v>72</v>
      </c>
    </row>
    <row r="2" spans="1:6" ht="15.6">
      <c r="A2" s="21" t="s">
        <v>25</v>
      </c>
      <c r="B2" s="15" t="s">
        <v>26</v>
      </c>
      <c r="C2" s="18" t="s">
        <v>58</v>
      </c>
      <c r="D2" s="16" t="s">
        <v>59</v>
      </c>
      <c r="E2" s="17" t="s">
        <v>60</v>
      </c>
      <c r="F2" s="26" t="s">
        <v>73</v>
      </c>
    </row>
    <row r="3" spans="1:6" ht="15.6">
      <c r="A3" s="21" t="s">
        <v>14</v>
      </c>
      <c r="B3" s="15" t="s">
        <v>15</v>
      </c>
      <c r="C3" s="18" t="s">
        <v>58</v>
      </c>
      <c r="D3" s="16" t="s">
        <v>61</v>
      </c>
      <c r="E3" s="17" t="s">
        <v>60</v>
      </c>
      <c r="F3" s="26" t="s">
        <v>73</v>
      </c>
    </row>
    <row r="4" spans="1:6" ht="15.6">
      <c r="A4" s="21" t="s">
        <v>17</v>
      </c>
      <c r="B4" s="15" t="s">
        <v>18</v>
      </c>
      <c r="C4" s="18" t="s">
        <v>58</v>
      </c>
      <c r="D4" s="16" t="s">
        <v>61</v>
      </c>
      <c r="E4" s="17" t="s">
        <v>96</v>
      </c>
      <c r="F4" s="26" t="s">
        <v>73</v>
      </c>
    </row>
    <row r="5" spans="1:6" ht="15.6">
      <c r="A5" s="21" t="s">
        <v>23</v>
      </c>
      <c r="B5" s="15" t="s">
        <v>24</v>
      </c>
      <c r="C5" s="18" t="s">
        <v>58</v>
      </c>
      <c r="D5" s="16" t="s">
        <v>59</v>
      </c>
      <c r="E5" s="17" t="s">
        <v>60</v>
      </c>
      <c r="F5" s="26" t="s">
        <v>73</v>
      </c>
    </row>
    <row r="6" spans="1:6" ht="15.6">
      <c r="A6" s="21" t="s">
        <v>20</v>
      </c>
      <c r="B6" s="15" t="s">
        <v>21</v>
      </c>
      <c r="C6" s="18" t="s">
        <v>58</v>
      </c>
      <c r="D6" s="16" t="s">
        <v>61</v>
      </c>
      <c r="E6" s="17" t="s">
        <v>60</v>
      </c>
      <c r="F6" s="26" t="s">
        <v>73</v>
      </c>
    </row>
    <row r="7" spans="1:6" ht="15.6">
      <c r="A7" s="21" t="s">
        <v>8</v>
      </c>
      <c r="B7" s="15" t="s">
        <v>9</v>
      </c>
      <c r="C7" s="18" t="s">
        <v>58</v>
      </c>
      <c r="D7" s="16" t="s">
        <v>61</v>
      </c>
      <c r="E7" s="17" t="s">
        <v>60</v>
      </c>
      <c r="F7" s="26" t="s">
        <v>73</v>
      </c>
    </row>
    <row r="8" spans="1:6" ht="15.6">
      <c r="A8" s="21" t="s">
        <v>4</v>
      </c>
      <c r="B8" s="15" t="s">
        <v>5</v>
      </c>
      <c r="C8" s="18" t="s">
        <v>58</v>
      </c>
      <c r="D8" s="16" t="s">
        <v>61</v>
      </c>
      <c r="E8" s="17" t="s">
        <v>60</v>
      </c>
      <c r="F8" s="26" t="s">
        <v>73</v>
      </c>
    </row>
    <row r="9" spans="1:6" ht="15.6">
      <c r="A9" s="21" t="s">
        <v>10</v>
      </c>
      <c r="B9" s="15" t="s">
        <v>82</v>
      </c>
      <c r="C9" s="18" t="s">
        <v>58</v>
      </c>
      <c r="D9" s="16" t="s">
        <v>61</v>
      </c>
      <c r="E9" s="17" t="s">
        <v>60</v>
      </c>
      <c r="F9" s="26" t="s">
        <v>73</v>
      </c>
    </row>
    <row r="10" spans="1:6" ht="15.6">
      <c r="A10" s="21" t="s">
        <v>29</v>
      </c>
      <c r="B10" s="15" t="s">
        <v>86</v>
      </c>
      <c r="C10" s="18" t="s">
        <v>70</v>
      </c>
      <c r="D10" s="16" t="s">
        <v>59</v>
      </c>
      <c r="E10" s="17" t="s">
        <v>62</v>
      </c>
      <c r="F10" s="26" t="s">
        <v>73</v>
      </c>
    </row>
    <row r="11" spans="1:6" ht="15.6">
      <c r="A11" s="21" t="s">
        <v>34</v>
      </c>
      <c r="B11" s="15" t="s">
        <v>85</v>
      </c>
      <c r="C11" s="18" t="s">
        <v>70</v>
      </c>
      <c r="D11" s="16" t="s">
        <v>63</v>
      </c>
      <c r="E11" s="17" t="s">
        <v>62</v>
      </c>
      <c r="F11" s="26" t="s">
        <v>73</v>
      </c>
    </row>
    <row r="12" spans="1:6" ht="15.6">
      <c r="A12" s="21" t="s">
        <v>31</v>
      </c>
      <c r="B12" s="15" t="s">
        <v>84</v>
      </c>
      <c r="C12" s="18" t="s">
        <v>70</v>
      </c>
      <c r="D12" s="16" t="s">
        <v>63</v>
      </c>
      <c r="E12" s="17" t="s">
        <v>62</v>
      </c>
      <c r="F12" s="26" t="s">
        <v>73</v>
      </c>
    </row>
    <row r="13" spans="1:6" ht="15.6">
      <c r="A13" s="21" t="s">
        <v>33</v>
      </c>
      <c r="B13" s="15" t="s">
        <v>83</v>
      </c>
      <c r="C13" s="18" t="s">
        <v>70</v>
      </c>
      <c r="D13" s="16" t="s">
        <v>59</v>
      </c>
      <c r="E13" s="17" t="s">
        <v>62</v>
      </c>
      <c r="F13" s="26" t="s">
        <v>73</v>
      </c>
    </row>
    <row r="14" spans="1:6" ht="15.6">
      <c r="A14" s="21" t="s">
        <v>32</v>
      </c>
      <c r="B14" s="15" t="s">
        <v>87</v>
      </c>
      <c r="C14" s="18" t="s">
        <v>70</v>
      </c>
      <c r="D14" s="16" t="s">
        <v>59</v>
      </c>
      <c r="E14" s="17" t="s">
        <v>62</v>
      </c>
      <c r="F14" s="26" t="s">
        <v>73</v>
      </c>
    </row>
    <row r="15" spans="1:6" ht="15.6">
      <c r="A15" s="21" t="s">
        <v>30</v>
      </c>
      <c r="B15" s="15" t="s">
        <v>88</v>
      </c>
      <c r="C15" s="18" t="s">
        <v>70</v>
      </c>
      <c r="D15" s="16" t="s">
        <v>59</v>
      </c>
      <c r="E15" s="17" t="s">
        <v>62</v>
      </c>
      <c r="F15" s="26" t="s">
        <v>73</v>
      </c>
    </row>
    <row r="16" spans="1:6" ht="15.6">
      <c r="A16" s="21" t="s">
        <v>64</v>
      </c>
      <c r="B16" s="15" t="s">
        <v>65</v>
      </c>
      <c r="C16" s="18" t="s">
        <v>58</v>
      </c>
      <c r="D16" s="16" t="s">
        <v>66</v>
      </c>
      <c r="E16" s="17" t="s">
        <v>60</v>
      </c>
      <c r="F16" s="26" t="s">
        <v>73</v>
      </c>
    </row>
    <row r="17" spans="1:6" ht="15.6">
      <c r="A17" s="21" t="s">
        <v>67</v>
      </c>
      <c r="B17" s="15" t="s">
        <v>68</v>
      </c>
      <c r="C17" s="18" t="s">
        <v>58</v>
      </c>
      <c r="D17" s="16" t="s">
        <v>66</v>
      </c>
      <c r="E17" s="17" t="s">
        <v>60</v>
      </c>
      <c r="F17" s="26" t="s">
        <v>73</v>
      </c>
    </row>
    <row r="18" spans="1:6" ht="15.6">
      <c r="A18" s="23" t="s">
        <v>69</v>
      </c>
      <c r="B18" s="15" t="s">
        <v>89</v>
      </c>
      <c r="C18" s="27" t="s">
        <v>58</v>
      </c>
      <c r="D18" s="24" t="s">
        <v>63</v>
      </c>
      <c r="E18" s="25" t="s">
        <v>60</v>
      </c>
      <c r="F18" s="28" t="s">
        <v>73</v>
      </c>
    </row>
  </sheetData>
  <dataValidations count="3">
    <dataValidation type="list" allowBlank="1" showInputMessage="1" showErrorMessage="1" sqref="F2:F1048576" xr:uid="{E3CBA4AE-1E5F-4D99-A65F-EFBC642AE1BF}">
      <formula1>"Yes , No"</formula1>
    </dataValidation>
    <dataValidation type="list" allowBlank="1" showInputMessage="1" showErrorMessage="1" sqref="E2:E1048576" xr:uid="{EA6158F3-2CD5-47E7-BC4B-3172C59BBD4B}">
      <formula1>"INR , USD "</formula1>
    </dataValidation>
    <dataValidation type="list" allowBlank="1" showInputMessage="1" showErrorMessage="1" sqref="D1:D1048576" xr:uid="{4E5DC50C-A6B1-4426-8DE7-3AC8BE05935F}">
      <formula1>$D$9:$D$16</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30739-EFA6-4D6E-8EFD-8B71DD055092}">
  <sheetPr codeName="Sheet2"/>
  <dimension ref="A1:J48"/>
  <sheetViews>
    <sheetView zoomScale="90" workbookViewId="0">
      <selection activeCell="C22" sqref="C22"/>
    </sheetView>
  </sheetViews>
  <sheetFormatPr defaultRowHeight="14.4"/>
  <cols>
    <col min="1" max="1" width="12.6640625" bestFit="1" customWidth="1"/>
    <col min="2" max="2" width="37.44140625" bestFit="1" customWidth="1"/>
    <col min="3" max="3" width="20.109375" bestFit="1" customWidth="1"/>
    <col min="4" max="4" width="12.77734375" bestFit="1" customWidth="1"/>
    <col min="5" max="5" width="16.88671875" bestFit="1" customWidth="1"/>
    <col min="6" max="6" width="20.88671875" bestFit="1" customWidth="1"/>
    <col min="7" max="7" width="20.44140625" bestFit="1" customWidth="1"/>
    <col min="10" max="10" width="2" bestFit="1" customWidth="1"/>
  </cols>
  <sheetData>
    <row r="1" spans="1:10" ht="16.2" thickBot="1">
      <c r="A1" s="47" t="s">
        <v>0</v>
      </c>
      <c r="B1" s="48" t="s">
        <v>1</v>
      </c>
      <c r="C1" s="48" t="s">
        <v>2</v>
      </c>
      <c r="D1" s="48" t="s">
        <v>99</v>
      </c>
      <c r="E1" s="48" t="s">
        <v>3</v>
      </c>
      <c r="F1" s="48" t="s">
        <v>75</v>
      </c>
      <c r="G1" s="49" t="s">
        <v>74</v>
      </c>
    </row>
    <row r="2" spans="1:10" ht="15.6" thickBot="1">
      <c r="A2" s="43">
        <v>45697</v>
      </c>
      <c r="B2" s="3" t="s">
        <v>4</v>
      </c>
      <c r="C2" s="3" t="s">
        <v>5</v>
      </c>
      <c r="D2" s="4" t="s">
        <v>6</v>
      </c>
      <c r="E2" s="4">
        <v>5</v>
      </c>
      <c r="F2" s="7">
        <f>IF(D2="SELL",-E2*G2,E2*G2)</f>
        <v>83</v>
      </c>
      <c r="G2" s="46">
        <v>16.600000000000001</v>
      </c>
    </row>
    <row r="3" spans="1:10" ht="15.6" thickBot="1">
      <c r="A3" s="44" t="s">
        <v>7</v>
      </c>
      <c r="B3" s="3" t="s">
        <v>4</v>
      </c>
      <c r="C3" s="3" t="s">
        <v>5</v>
      </c>
      <c r="D3" s="4" t="s">
        <v>6</v>
      </c>
      <c r="E3" s="4">
        <v>25</v>
      </c>
      <c r="F3" s="7">
        <f>IF(D3="SELL",-E3*G3,E3*G3)</f>
        <v>451.75</v>
      </c>
      <c r="G3" s="46">
        <v>18.07</v>
      </c>
    </row>
    <row r="4" spans="1:10" ht="15.6" thickBot="1">
      <c r="A4" s="44" t="s">
        <v>7</v>
      </c>
      <c r="B4" s="3" t="s">
        <v>8</v>
      </c>
      <c r="C4" s="3" t="s">
        <v>9</v>
      </c>
      <c r="D4" s="4" t="s">
        <v>6</v>
      </c>
      <c r="E4" s="4">
        <v>18</v>
      </c>
      <c r="F4" s="7">
        <f t="shared" ref="F4:F34" si="0">IF(D4="SELL",-E4*G4,E4*G4)</f>
        <v>237.24</v>
      </c>
      <c r="G4" s="46">
        <v>13.18</v>
      </c>
    </row>
    <row r="5" spans="1:10" ht="15.6" thickBot="1">
      <c r="A5" s="44" t="s">
        <v>7</v>
      </c>
      <c r="B5" s="3" t="s">
        <v>10</v>
      </c>
      <c r="C5" s="3" t="s">
        <v>11</v>
      </c>
      <c r="D5" s="4" t="s">
        <v>6</v>
      </c>
      <c r="E5" s="4">
        <v>18</v>
      </c>
      <c r="F5" s="7">
        <f t="shared" si="0"/>
        <v>247.32</v>
      </c>
      <c r="G5" s="46">
        <v>13.74</v>
      </c>
      <c r="J5" t="s">
        <v>100</v>
      </c>
    </row>
    <row r="6" spans="1:10" ht="15.6" thickBot="1">
      <c r="A6" s="44" t="s">
        <v>7</v>
      </c>
      <c r="B6" s="3" t="s">
        <v>4</v>
      </c>
      <c r="C6" s="3" t="s">
        <v>5</v>
      </c>
      <c r="D6" s="4" t="s">
        <v>6</v>
      </c>
      <c r="E6" s="4">
        <v>3</v>
      </c>
      <c r="F6" s="7">
        <f t="shared" si="0"/>
        <v>54.21</v>
      </c>
      <c r="G6" s="46">
        <v>18.07</v>
      </c>
    </row>
    <row r="7" spans="1:10" ht="15.6" thickBot="1">
      <c r="A7" s="44" t="s">
        <v>12</v>
      </c>
      <c r="B7" s="3" t="s">
        <v>8</v>
      </c>
      <c r="C7" s="3" t="s">
        <v>9</v>
      </c>
      <c r="D7" s="4" t="s">
        <v>6</v>
      </c>
      <c r="E7" s="4">
        <v>10</v>
      </c>
      <c r="F7" s="7">
        <f t="shared" si="0"/>
        <v>152.10000000000002</v>
      </c>
      <c r="G7" s="46">
        <v>15.21</v>
      </c>
    </row>
    <row r="8" spans="1:10" ht="15.6" thickBot="1">
      <c r="A8" s="44" t="s">
        <v>12</v>
      </c>
      <c r="B8" s="3" t="s">
        <v>4</v>
      </c>
      <c r="C8" s="3" t="s">
        <v>5</v>
      </c>
      <c r="D8" s="4" t="s">
        <v>6</v>
      </c>
      <c r="E8" s="4">
        <v>7</v>
      </c>
      <c r="F8" s="7">
        <f t="shared" si="0"/>
        <v>135.59</v>
      </c>
      <c r="G8" s="46">
        <v>19.37</v>
      </c>
    </row>
    <row r="9" spans="1:10" ht="15.6" thickBot="1">
      <c r="A9" s="44" t="s">
        <v>12</v>
      </c>
      <c r="B9" s="3" t="s">
        <v>10</v>
      </c>
      <c r="C9" s="3" t="s">
        <v>11</v>
      </c>
      <c r="D9" s="4" t="s">
        <v>6</v>
      </c>
      <c r="E9" s="4">
        <v>6</v>
      </c>
      <c r="F9" s="7">
        <f t="shared" si="0"/>
        <v>95.1</v>
      </c>
      <c r="G9" s="46">
        <v>15.85</v>
      </c>
    </row>
    <row r="10" spans="1:10" ht="15.6" thickBot="1">
      <c r="A10" s="43">
        <v>46003</v>
      </c>
      <c r="B10" s="3" t="s">
        <v>4</v>
      </c>
      <c r="C10" s="3" t="s">
        <v>5</v>
      </c>
      <c r="D10" s="4" t="s">
        <v>6</v>
      </c>
      <c r="E10" s="4">
        <v>2</v>
      </c>
      <c r="F10" s="7">
        <f t="shared" si="0"/>
        <v>40.74</v>
      </c>
      <c r="G10" s="46">
        <v>20.37</v>
      </c>
    </row>
    <row r="11" spans="1:10" ht="15.6" thickBot="1">
      <c r="A11" s="43">
        <v>46003</v>
      </c>
      <c r="B11" s="3" t="s">
        <v>8</v>
      </c>
      <c r="C11" s="3" t="s">
        <v>9</v>
      </c>
      <c r="D11" s="4" t="s">
        <v>6</v>
      </c>
      <c r="E11" s="4">
        <v>5</v>
      </c>
      <c r="F11" s="7">
        <f t="shared" si="0"/>
        <v>93.949999999999989</v>
      </c>
      <c r="G11" s="46">
        <v>18.79</v>
      </c>
    </row>
    <row r="12" spans="1:10" ht="15.6" thickBot="1">
      <c r="A12" s="44" t="s">
        <v>13</v>
      </c>
      <c r="B12" s="3" t="s">
        <v>14</v>
      </c>
      <c r="C12" s="6" t="s">
        <v>15</v>
      </c>
      <c r="D12" s="4" t="s">
        <v>6</v>
      </c>
      <c r="E12" s="4">
        <v>185</v>
      </c>
      <c r="F12" s="7">
        <f t="shared" si="0"/>
        <v>20366.650000000001</v>
      </c>
      <c r="G12" s="46">
        <v>110.09</v>
      </c>
    </row>
    <row r="13" spans="1:10" ht="15.6" thickBot="1">
      <c r="A13" s="44" t="s">
        <v>16</v>
      </c>
      <c r="B13" s="3" t="s">
        <v>17</v>
      </c>
      <c r="C13" s="6" t="s">
        <v>18</v>
      </c>
      <c r="D13" s="4" t="s">
        <v>6</v>
      </c>
      <c r="E13" s="4">
        <v>55</v>
      </c>
      <c r="F13" s="7">
        <f t="shared" si="0"/>
        <v>9993.5</v>
      </c>
      <c r="G13" s="46">
        <v>181.7</v>
      </c>
    </row>
    <row r="14" spans="1:10" ht="15.6" thickBot="1">
      <c r="A14" s="44" t="s">
        <v>16</v>
      </c>
      <c r="B14" s="3" t="s">
        <v>17</v>
      </c>
      <c r="C14" s="6" t="s">
        <v>18</v>
      </c>
      <c r="D14" s="4" t="s">
        <v>6</v>
      </c>
      <c r="E14" s="4">
        <v>29</v>
      </c>
      <c r="F14" s="7">
        <f t="shared" si="0"/>
        <v>5237.9800000000005</v>
      </c>
      <c r="G14" s="46">
        <v>180.62</v>
      </c>
    </row>
    <row r="15" spans="1:10" ht="15.6" thickBot="1">
      <c r="A15" s="44" t="s">
        <v>16</v>
      </c>
      <c r="B15" s="3" t="s">
        <v>17</v>
      </c>
      <c r="C15" s="6" t="s">
        <v>18</v>
      </c>
      <c r="D15" s="4" t="s">
        <v>6</v>
      </c>
      <c r="E15" s="4">
        <v>11</v>
      </c>
      <c r="F15" s="7">
        <f t="shared" si="0"/>
        <v>1983.74</v>
      </c>
      <c r="G15" s="46">
        <v>180.34</v>
      </c>
    </row>
    <row r="16" spans="1:10" ht="15.6" thickBot="1">
      <c r="A16" s="44" t="s">
        <v>19</v>
      </c>
      <c r="B16" s="3" t="s">
        <v>20</v>
      </c>
      <c r="C16" s="3" t="s">
        <v>21</v>
      </c>
      <c r="D16" s="4" t="s">
        <v>6</v>
      </c>
      <c r="E16" s="4">
        <v>99</v>
      </c>
      <c r="F16" s="7">
        <f t="shared" si="0"/>
        <v>1285.02</v>
      </c>
      <c r="G16" s="46">
        <v>12.98</v>
      </c>
    </row>
    <row r="17" spans="1:7" ht="15.6" thickBot="1">
      <c r="A17" s="44" t="s">
        <v>22</v>
      </c>
      <c r="B17" s="3" t="s">
        <v>23</v>
      </c>
      <c r="C17" s="3" t="s">
        <v>24</v>
      </c>
      <c r="D17" s="4" t="s">
        <v>6</v>
      </c>
      <c r="E17" s="4">
        <v>4</v>
      </c>
      <c r="F17" s="7">
        <f t="shared" si="0"/>
        <v>208.8</v>
      </c>
      <c r="G17" s="46">
        <v>52.2</v>
      </c>
    </row>
    <row r="18" spans="1:7" ht="15.6" thickBot="1">
      <c r="A18" s="44" t="s">
        <v>22</v>
      </c>
      <c r="B18" s="3" t="s">
        <v>25</v>
      </c>
      <c r="C18" s="3" t="s">
        <v>26</v>
      </c>
      <c r="D18" s="4" t="s">
        <v>6</v>
      </c>
      <c r="E18" s="4">
        <v>8</v>
      </c>
      <c r="F18" s="7">
        <f t="shared" si="0"/>
        <v>281.2</v>
      </c>
      <c r="G18" s="46">
        <v>35.15</v>
      </c>
    </row>
    <row r="19" spans="1:7" ht="15.6" thickBot="1">
      <c r="A19" s="44" t="s">
        <v>22</v>
      </c>
      <c r="B19" s="3" t="s">
        <v>25</v>
      </c>
      <c r="C19" s="3" t="s">
        <v>26</v>
      </c>
      <c r="D19" s="4" t="s">
        <v>27</v>
      </c>
      <c r="E19" s="4">
        <v>1</v>
      </c>
      <c r="F19" s="7">
        <f t="shared" si="0"/>
        <v>-35.14</v>
      </c>
      <c r="G19" s="46">
        <v>35.14</v>
      </c>
    </row>
    <row r="20" spans="1:7" ht="15.6" thickBot="1">
      <c r="A20" s="44" t="s">
        <v>22</v>
      </c>
      <c r="B20" s="3" t="s">
        <v>23</v>
      </c>
      <c r="C20" s="3" t="s">
        <v>24</v>
      </c>
      <c r="D20" s="4" t="s">
        <v>6</v>
      </c>
      <c r="E20" s="4">
        <v>1</v>
      </c>
      <c r="F20" s="7">
        <f t="shared" si="0"/>
        <v>52.18</v>
      </c>
      <c r="G20" s="46">
        <v>52.18</v>
      </c>
    </row>
    <row r="21" spans="1:7" ht="15.6" thickBot="1">
      <c r="A21" s="44" t="s">
        <v>22</v>
      </c>
      <c r="B21" s="3" t="s">
        <v>20</v>
      </c>
      <c r="C21" s="3" t="s">
        <v>21</v>
      </c>
      <c r="D21" s="4" t="s">
        <v>6</v>
      </c>
      <c r="E21" s="4">
        <v>1</v>
      </c>
      <c r="F21" s="7">
        <f t="shared" si="0"/>
        <v>12.94</v>
      </c>
      <c r="G21" s="46">
        <v>12.94</v>
      </c>
    </row>
    <row r="22" spans="1:7" ht="15.6" thickBot="1">
      <c r="A22" s="45" t="s">
        <v>28</v>
      </c>
      <c r="B22" s="3" t="s">
        <v>14</v>
      </c>
      <c r="C22" s="6" t="s">
        <v>15</v>
      </c>
      <c r="D22" s="4" t="s">
        <v>6</v>
      </c>
      <c r="E22" s="5">
        <v>149</v>
      </c>
      <c r="F22" s="7">
        <f t="shared" si="0"/>
        <v>17149.899999999998</v>
      </c>
      <c r="G22" s="46">
        <v>115.1</v>
      </c>
    </row>
    <row r="23" spans="1:7" ht="15.6" thickBot="1">
      <c r="A23" s="45" t="s">
        <v>28</v>
      </c>
      <c r="B23" s="3" t="s">
        <v>17</v>
      </c>
      <c r="C23" s="6" t="s">
        <v>18</v>
      </c>
      <c r="D23" s="4" t="s">
        <v>6</v>
      </c>
      <c r="E23" s="5">
        <v>100</v>
      </c>
      <c r="F23" s="7">
        <f t="shared" si="0"/>
        <v>23828</v>
      </c>
      <c r="G23" s="46">
        <v>238.28</v>
      </c>
    </row>
    <row r="24" spans="1:7" ht="15.6" thickBot="1">
      <c r="A24" s="45" t="s">
        <v>28</v>
      </c>
      <c r="B24" s="3" t="s">
        <v>14</v>
      </c>
      <c r="C24" s="6" t="s">
        <v>15</v>
      </c>
      <c r="D24" s="4" t="s">
        <v>6</v>
      </c>
      <c r="E24" s="5">
        <v>150</v>
      </c>
      <c r="F24" s="7">
        <f t="shared" si="0"/>
        <v>17250</v>
      </c>
      <c r="G24" s="46">
        <v>115</v>
      </c>
    </row>
    <row r="25" spans="1:7" ht="15.6" thickBot="1">
      <c r="A25" s="45" t="s">
        <v>28</v>
      </c>
      <c r="B25" s="3" t="s">
        <v>14</v>
      </c>
      <c r="C25" s="6" t="s">
        <v>15</v>
      </c>
      <c r="D25" s="4" t="s">
        <v>6</v>
      </c>
      <c r="E25" s="5">
        <v>40</v>
      </c>
      <c r="F25" s="7">
        <f t="shared" si="0"/>
        <v>4598</v>
      </c>
      <c r="G25" s="46">
        <v>114.95</v>
      </c>
    </row>
    <row r="26" spans="1:7" ht="15.6" thickBot="1">
      <c r="A26" s="45" t="s">
        <v>28</v>
      </c>
      <c r="B26" s="3" t="s">
        <v>17</v>
      </c>
      <c r="C26" s="6" t="s">
        <v>18</v>
      </c>
      <c r="D26" s="4" t="s">
        <v>6</v>
      </c>
      <c r="E26" s="5">
        <v>52</v>
      </c>
      <c r="F26" s="7">
        <f t="shared" si="0"/>
        <v>12324</v>
      </c>
      <c r="G26" s="46">
        <v>237</v>
      </c>
    </row>
    <row r="27" spans="1:7" ht="15.6" thickBot="1">
      <c r="A27" s="45" t="s">
        <v>28</v>
      </c>
      <c r="B27" s="3" t="s">
        <v>17</v>
      </c>
      <c r="C27" s="6" t="s">
        <v>18</v>
      </c>
      <c r="D27" s="4" t="s">
        <v>6</v>
      </c>
      <c r="E27" s="5">
        <v>50</v>
      </c>
      <c r="F27" s="7">
        <f t="shared" si="0"/>
        <v>11900</v>
      </c>
      <c r="G27" s="46">
        <v>238</v>
      </c>
    </row>
    <row r="28" spans="1:7" ht="15.6" thickBot="1">
      <c r="A28" s="45" t="s">
        <v>28</v>
      </c>
      <c r="B28" s="3" t="s">
        <v>17</v>
      </c>
      <c r="C28" s="6" t="s">
        <v>18</v>
      </c>
      <c r="D28" s="4" t="s">
        <v>6</v>
      </c>
      <c r="E28" s="5">
        <v>20</v>
      </c>
      <c r="F28" s="7">
        <f t="shared" si="0"/>
        <v>4700</v>
      </c>
      <c r="G28" s="46">
        <v>235</v>
      </c>
    </row>
    <row r="29" spans="1:7" ht="15.6" thickBot="1">
      <c r="A29" s="45" t="s">
        <v>28</v>
      </c>
      <c r="B29" s="3" t="s">
        <v>17</v>
      </c>
      <c r="C29" s="6" t="s">
        <v>18</v>
      </c>
      <c r="D29" s="4" t="s">
        <v>6</v>
      </c>
      <c r="E29" s="5">
        <v>21</v>
      </c>
      <c r="F29" s="7">
        <f t="shared" si="0"/>
        <v>4935</v>
      </c>
      <c r="G29" s="46">
        <v>235</v>
      </c>
    </row>
    <row r="30" spans="1:7" ht="15.6" thickBot="1">
      <c r="A30" s="45" t="s">
        <v>28</v>
      </c>
      <c r="B30" s="3" t="s">
        <v>17</v>
      </c>
      <c r="C30" s="6" t="s">
        <v>18</v>
      </c>
      <c r="D30" s="4" t="s">
        <v>6</v>
      </c>
      <c r="E30" s="5">
        <v>14</v>
      </c>
      <c r="F30" s="7">
        <f t="shared" si="0"/>
        <v>3304</v>
      </c>
      <c r="G30" s="46">
        <v>236</v>
      </c>
    </row>
    <row r="31" spans="1:7" ht="15.6" thickBot="1">
      <c r="A31" s="45" t="s">
        <v>28</v>
      </c>
      <c r="B31" s="3" t="s">
        <v>14</v>
      </c>
      <c r="C31" s="6" t="s">
        <v>15</v>
      </c>
      <c r="D31" s="4" t="s">
        <v>6</v>
      </c>
      <c r="E31" s="5">
        <v>1</v>
      </c>
      <c r="F31" s="7">
        <f t="shared" si="0"/>
        <v>114.82</v>
      </c>
      <c r="G31" s="46">
        <v>114.82</v>
      </c>
    </row>
    <row r="32" spans="1:7" ht="15.6" thickBot="1">
      <c r="A32" s="45" t="s">
        <v>28</v>
      </c>
      <c r="B32" s="3" t="s">
        <v>17</v>
      </c>
      <c r="C32" s="6" t="s">
        <v>18</v>
      </c>
      <c r="D32" s="5" t="s">
        <v>27</v>
      </c>
      <c r="E32" s="5">
        <v>21</v>
      </c>
      <c r="F32" s="7">
        <f t="shared" si="0"/>
        <v>-4912.95</v>
      </c>
      <c r="G32" s="46">
        <v>233.95</v>
      </c>
    </row>
    <row r="33" spans="1:7" ht="15.6" thickBot="1">
      <c r="A33" s="45" t="s">
        <v>28</v>
      </c>
      <c r="B33" s="3" t="s">
        <v>17</v>
      </c>
      <c r="C33" s="6" t="s">
        <v>18</v>
      </c>
      <c r="D33" s="4" t="s">
        <v>6</v>
      </c>
      <c r="E33" s="5">
        <v>6</v>
      </c>
      <c r="F33" s="7">
        <f t="shared" si="0"/>
        <v>1398</v>
      </c>
      <c r="G33" s="46">
        <v>233</v>
      </c>
    </row>
    <row r="34" spans="1:7" ht="15.6" thickBot="1">
      <c r="A34" s="50" t="s">
        <v>28</v>
      </c>
      <c r="B34" s="51" t="s">
        <v>17</v>
      </c>
      <c r="C34" s="52" t="s">
        <v>18</v>
      </c>
      <c r="D34" s="53" t="s">
        <v>27</v>
      </c>
      <c r="E34" s="53">
        <v>90</v>
      </c>
      <c r="F34" s="54">
        <f t="shared" si="0"/>
        <v>-20160</v>
      </c>
      <c r="G34" s="55">
        <v>224</v>
      </c>
    </row>
    <row r="35" spans="1:7" ht="15.6" thickBot="1">
      <c r="A35" s="80"/>
      <c r="B35" s="51"/>
      <c r="C35" s="52"/>
      <c r="D35" s="4"/>
      <c r="E35" s="5"/>
      <c r="F35" s="7"/>
      <c r="G35" s="46"/>
    </row>
    <row r="36" spans="1:7" ht="15.6" thickBot="1">
      <c r="A36" s="80"/>
      <c r="B36" s="3"/>
      <c r="C36" s="6"/>
      <c r="D36" s="4"/>
      <c r="E36" s="5"/>
      <c r="F36" s="7"/>
      <c r="G36" s="46"/>
    </row>
    <row r="37" spans="1:7" ht="15.6" thickBot="1">
      <c r="A37" s="45"/>
      <c r="B37" s="3"/>
      <c r="C37" s="6"/>
      <c r="D37" s="4"/>
      <c r="E37" s="5"/>
      <c r="F37" s="7"/>
      <c r="G37" s="46"/>
    </row>
    <row r="38" spans="1:7" ht="15.6" thickBot="1">
      <c r="A38" s="80"/>
      <c r="B38" s="51"/>
      <c r="C38" s="52"/>
      <c r="D38" s="4"/>
      <c r="E38" s="5"/>
      <c r="F38" s="7"/>
      <c r="G38" s="46"/>
    </row>
    <row r="39" spans="1:7" ht="15.6" thickBot="1">
      <c r="A39" s="80"/>
      <c r="B39" s="3"/>
      <c r="C39" s="6"/>
      <c r="D39" s="4"/>
      <c r="E39" s="5"/>
      <c r="F39" s="7"/>
      <c r="G39" s="46"/>
    </row>
    <row r="40" spans="1:7" ht="15.6" thickBot="1">
      <c r="A40" s="45"/>
      <c r="B40" s="3"/>
      <c r="C40" s="6"/>
      <c r="D40" s="4"/>
      <c r="E40" s="5"/>
      <c r="F40" s="7"/>
      <c r="G40" s="46"/>
    </row>
    <row r="41" spans="1:7" ht="15.6" thickBot="1">
      <c r="A41" s="80"/>
      <c r="B41" s="51"/>
      <c r="C41" s="52"/>
      <c r="D41" s="4"/>
      <c r="E41" s="5"/>
      <c r="F41" s="7"/>
      <c r="G41" s="46"/>
    </row>
    <row r="42" spans="1:7" ht="15.6" thickBot="1">
      <c r="A42" s="80"/>
      <c r="B42" s="3"/>
      <c r="C42" s="6"/>
      <c r="D42" s="4"/>
      <c r="E42" s="5"/>
      <c r="F42" s="7"/>
      <c r="G42" s="46"/>
    </row>
    <row r="43" spans="1:7" ht="15.6" thickBot="1">
      <c r="A43" s="45"/>
      <c r="B43" s="3"/>
      <c r="C43" s="6"/>
      <c r="D43" s="4"/>
      <c r="E43" s="5"/>
      <c r="F43" s="7"/>
      <c r="G43" s="46"/>
    </row>
    <row r="44" spans="1:7" ht="15.6" thickBot="1">
      <c r="A44" s="80"/>
      <c r="B44" s="51"/>
      <c r="C44" s="52"/>
      <c r="D44" s="4"/>
      <c r="E44" s="5"/>
      <c r="F44" s="7"/>
      <c r="G44" s="46"/>
    </row>
    <row r="45" spans="1:7" ht="15.6" thickBot="1">
      <c r="A45" s="80"/>
      <c r="B45" s="3"/>
      <c r="C45" s="6"/>
      <c r="D45" s="4"/>
      <c r="E45" s="5"/>
      <c r="F45" s="7"/>
      <c r="G45" s="46"/>
    </row>
    <row r="46" spans="1:7" ht="15.6" thickBot="1">
      <c r="A46" s="45"/>
      <c r="B46" s="3"/>
      <c r="C46" s="6"/>
      <c r="D46" s="4"/>
      <c r="E46" s="5"/>
      <c r="F46" s="7"/>
      <c r="G46" s="46"/>
    </row>
    <row r="47" spans="1:7" ht="15.6" thickBot="1">
      <c r="A47" s="80"/>
      <c r="B47" s="51"/>
      <c r="C47" s="52"/>
      <c r="D47" s="4"/>
      <c r="E47" s="5"/>
      <c r="F47" s="7"/>
      <c r="G47" s="46"/>
    </row>
    <row r="48" spans="1:7" ht="15.6" thickBot="1">
      <c r="A48" s="80"/>
      <c r="B48" s="3"/>
      <c r="C48" s="6"/>
      <c r="D48" s="4"/>
      <c r="E48" s="5"/>
      <c r="F48" s="7"/>
      <c r="G48" s="46"/>
    </row>
  </sheetData>
  <conditionalFormatting sqref="D1:D1048576">
    <cfRule type="cellIs" dxfId="7" priority="3" operator="equal">
      <formula>"SELL"</formula>
    </cfRule>
    <cfRule type="cellIs" dxfId="6" priority="4" operator="equal">
      <formula>"BUY"</formula>
    </cfRule>
  </conditionalFormatting>
  <conditionalFormatting sqref="F1:F1048576">
    <cfRule type="cellIs" dxfId="4" priority="2" operator="equal">
      <formula>"-"</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5FCDF74C-915A-4FFD-8C64-C8DF86429D17}">
            <xm:f>NOT(ISERROR(SEARCH("-",F1)))</xm:f>
            <xm:f>"-"</xm:f>
            <x14:dxf>
              <font>
                <color rgb="FF9C0006"/>
              </font>
              <fill>
                <patternFill>
                  <bgColor rgb="FFFFC7CE"/>
                </patternFill>
              </fill>
            </x14:dxf>
          </x14:cfRule>
          <xm:sqref>F1:F1048576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6701-BCF8-442A-B167-DB9216EA6233}">
  <sheetPr codeName="Sheet5"/>
  <dimension ref="A1:N34"/>
  <sheetViews>
    <sheetView topLeftCell="A6" zoomScale="114" workbookViewId="0">
      <selection activeCell="D14" sqref="D14"/>
    </sheetView>
  </sheetViews>
  <sheetFormatPr defaultRowHeight="14.4"/>
  <cols>
    <col min="1" max="1" width="36.33203125" style="2" bestFit="1" customWidth="1"/>
    <col min="2" max="2" width="41.88671875" style="2" bestFit="1" customWidth="1"/>
    <col min="3" max="3" width="8.109375" style="2" bestFit="1" customWidth="1"/>
    <col min="4" max="4" width="8.6640625" style="36" bestFit="1" customWidth="1"/>
    <col min="5" max="5" width="9.77734375" style="83" bestFit="1" customWidth="1"/>
    <col min="6" max="6" width="9.109375" style="8" bestFit="1" customWidth="1"/>
    <col min="7" max="7" width="12.6640625" style="83" bestFit="1" customWidth="1"/>
    <col min="8" max="8" width="6.88671875" style="42" bestFit="1" customWidth="1"/>
    <col min="9" max="9" width="10.109375" style="83" bestFit="1" customWidth="1"/>
    <col min="10" max="10" width="8.6640625" style="33" bestFit="1" customWidth="1"/>
    <col min="11" max="11" width="11.5546875" style="2" bestFit="1" customWidth="1"/>
    <col min="12" max="12" width="9.6640625" style="2" bestFit="1" customWidth="1"/>
    <col min="13" max="13" width="23.109375" style="86" bestFit="1" customWidth="1"/>
    <col min="14" max="14" width="9.6640625" style="2" bestFit="1" customWidth="1"/>
    <col min="15" max="16384" width="8.88671875" style="2"/>
  </cols>
  <sheetData>
    <row r="1" spans="1:14" s="9" customFormat="1">
      <c r="A1" s="29" t="s">
        <v>1</v>
      </c>
      <c r="B1" s="29" t="s">
        <v>2</v>
      </c>
      <c r="C1" s="29" t="s">
        <v>3</v>
      </c>
      <c r="D1" s="34" t="s">
        <v>76</v>
      </c>
      <c r="E1" s="81" t="s">
        <v>77</v>
      </c>
      <c r="F1" s="29" t="s">
        <v>78</v>
      </c>
      <c r="G1" s="81" t="s">
        <v>79</v>
      </c>
      <c r="H1" s="40" t="s">
        <v>95</v>
      </c>
      <c r="I1" s="81" t="s">
        <v>80</v>
      </c>
      <c r="J1" s="81" t="s">
        <v>81</v>
      </c>
      <c r="K1" s="85" t="s">
        <v>109</v>
      </c>
      <c r="M1" s="124" t="s">
        <v>90</v>
      </c>
      <c r="N1" s="124"/>
    </row>
    <row r="2" spans="1:14" ht="18">
      <c r="A2" s="30" t="str" cm="1">
        <f t="array" ref="A2:A10">_xlfn.UNIQUE(IND_TNX[Asset Name])</f>
        <v>Zerodha Gold ETF</v>
      </c>
      <c r="B2" s="31" t="e" vm="1">
        <v>#VALUE!</v>
      </c>
      <c r="C2" s="31">
        <f>SUMIFS(IND_TNX!E:E,IND_TNX!B:B,A2,IND_TNX!D:D,"BUY")</f>
        <v>42</v>
      </c>
      <c r="D2" s="35">
        <f>SUMIFS(IND_TNX!F:F,IND_TNX!B:B,A2,IND_TNX!D:D,"BUY") /
SUMIFS(IND_TNX!E:E,IND_TNX!B:B,A2,IND_TNX!D:D,"BUY")</f>
        <v>18.221190476190479</v>
      </c>
      <c r="E2" s="84">
        <f>C2*D2</f>
        <v>765.29000000000008</v>
      </c>
      <c r="F2" s="32" cm="1">
        <f t="array" aca="1" ref="F2" ca="1">_FV(B2,"Price")</f>
        <v>25.27</v>
      </c>
      <c r="G2" s="84">
        <f t="shared" ref="G2:G9" ca="1" si="0">C2*F2</f>
        <v>1061.3399999999999</v>
      </c>
      <c r="H2" s="41">
        <f t="shared" ref="H2:H9" ca="1" si="1">G2/$N$3</f>
        <v>6.464816230225278E-3</v>
      </c>
      <c r="I2" s="82">
        <f t="shared" ref="I2:I9" ca="1" si="2">G2-E2</f>
        <v>296.04999999999984</v>
      </c>
      <c r="J2" s="39">
        <f t="shared" ref="J2:J9" ca="1" si="3">I2/E2</f>
        <v>0.38684681623959521</v>
      </c>
      <c r="K2" s="87">
        <f t="shared" ref="K2:K9" ca="1" si="4">H2*J2</f>
        <v>2.5008935762367108E-3</v>
      </c>
      <c r="M2" s="88" t="s">
        <v>91</v>
      </c>
      <c r="N2" s="69">
        <f>SUM(E2:E9)</f>
        <v>142514.73000000001</v>
      </c>
    </row>
    <row r="3" spans="1:14" ht="18">
      <c r="A3" s="30" t="str">
        <v>Tata Silver Exchange Traded Fund</v>
      </c>
      <c r="B3" s="31" t="e" vm="2">
        <v>#VALUE!</v>
      </c>
      <c r="C3" s="31">
        <f>SUMIFS(IND_TNX!E:E,IND_TNX!B:B,A3,IND_TNX!D:D,"BUY")</f>
        <v>33</v>
      </c>
      <c r="D3" s="35">
        <f>SUMIFS(IND_TNX!F:F,IND_TNX!B:B,A3,IND_TNX!D:D,"BUY") /
SUMIFS(IND_TNX!E:E,IND_TNX!B:B,A3,IND_TNX!D:D,"BUY")</f>
        <v>14.645151515151516</v>
      </c>
      <c r="E3" s="84">
        <f t="shared" ref="E3:E9" si="5">C3*D3</f>
        <v>483.29</v>
      </c>
      <c r="F3" s="32" cm="1">
        <f t="array" aca="1" ref="F3" ca="1">_FV(B3,"Price")</f>
        <v>25.51</v>
      </c>
      <c r="G3" s="84">
        <f t="shared" ca="1" si="0"/>
        <v>841.83</v>
      </c>
      <c r="H3" s="41">
        <f t="shared" ca="1" si="1"/>
        <v>5.1277406364506626E-3</v>
      </c>
      <c r="I3" s="82">
        <f t="shared" ca="1" si="2"/>
        <v>358.54</v>
      </c>
      <c r="J3" s="39">
        <f t="shared" ca="1" si="3"/>
        <v>0.74187340934014778</v>
      </c>
      <c r="K3" s="87">
        <f t="shared" ca="1" si="4"/>
        <v>3.8041344281756722E-3</v>
      </c>
      <c r="M3" s="88" t="s">
        <v>92</v>
      </c>
      <c r="N3" s="69">
        <f ca="1">SUM(G2:G9)</f>
        <v>164171.72</v>
      </c>
    </row>
    <row r="4" spans="1:14" ht="18">
      <c r="A4" s="30" t="str">
        <v>Zerodha Silver ETF</v>
      </c>
      <c r="B4" s="31" t="e" vm="3">
        <v>#VALUE!</v>
      </c>
      <c r="C4" s="31">
        <f>SUMIFS(IND_TNX!E:E,IND_TNX!B:B,A4,IND_TNX!D:D,"BUY")</f>
        <v>24</v>
      </c>
      <c r="D4" s="35">
        <f>SUMIFS(IND_TNX!F:F,IND_TNX!B:B,A4,IND_TNX!D:D,"BUY") /
SUMIFS(IND_TNX!E:E,IND_TNX!B:B,A4,IND_TNX!D:D,"BUY")</f>
        <v>14.267499999999998</v>
      </c>
      <c r="E4" s="84">
        <f t="shared" si="5"/>
        <v>342.41999999999996</v>
      </c>
      <c r="F4" s="32" cm="1">
        <f t="array" aca="1" ref="F4" ca="1">_FV(B4,"Price")</f>
        <v>26.7</v>
      </c>
      <c r="G4" s="84">
        <f t="shared" ca="1" si="0"/>
        <v>640.79999999999995</v>
      </c>
      <c r="H4" s="41">
        <f t="shared" ca="1" si="1"/>
        <v>3.903230105647915E-3</v>
      </c>
      <c r="I4" s="82">
        <f t="shared" ca="1" si="2"/>
        <v>298.38</v>
      </c>
      <c r="J4" s="39">
        <f t="shared" ca="1" si="3"/>
        <v>0.87138601717189423</v>
      </c>
      <c r="K4" s="87">
        <f t="shared" ca="1" si="4"/>
        <v>3.4012201358659686E-3</v>
      </c>
      <c r="M4" s="88" t="s">
        <v>93</v>
      </c>
      <c r="N4" s="69">
        <f ca="1">SUM(I2:I9)</f>
        <v>21656.99</v>
      </c>
    </row>
    <row r="5" spans="1:14" ht="18">
      <c r="A5" s="30" t="str">
        <v>Nippon India ETF Gold BeES</v>
      </c>
      <c r="B5" s="31" t="e" vm="4">
        <v>#VALUE!</v>
      </c>
      <c r="C5" s="31">
        <f>SUMIFS(IND_TNX!E:E,IND_TNX!B:B,A5,IND_TNX!D:D,"BUY")</f>
        <v>525</v>
      </c>
      <c r="D5" s="35">
        <f>SUMIFS(IND_TNX!F:F,IND_TNX!B:B,A5,IND_TNX!D:D,"BUY") /
SUMIFS(IND_TNX!E:E,IND_TNX!B:B,A5,IND_TNX!D:D,"BUY")</f>
        <v>113.29403809523809</v>
      </c>
      <c r="E5" s="84">
        <f t="shared" si="5"/>
        <v>59479.37</v>
      </c>
      <c r="F5" s="32" cm="1">
        <f t="array" aca="1" ref="F5" ca="1">_FV(B5,"Price")</f>
        <v>132.71</v>
      </c>
      <c r="G5" s="84">
        <f t="shared" ca="1" si="0"/>
        <v>69672.75</v>
      </c>
      <c r="H5" s="41">
        <f t="shared" ca="1" si="1"/>
        <v>0.42438947463058802</v>
      </c>
      <c r="I5" s="82">
        <f t="shared" ca="1" si="2"/>
        <v>10193.379999999997</v>
      </c>
      <c r="J5" s="39">
        <f t="shared" ca="1" si="3"/>
        <v>0.1713767311254305</v>
      </c>
      <c r="K5" s="87">
        <f t="shared" ca="1" si="4"/>
        <v>7.2730480886228993E-2</v>
      </c>
      <c r="M5" s="88" t="s">
        <v>94</v>
      </c>
      <c r="N5" s="70">
        <f ca="1">N4/N2</f>
        <v>0.15196316900014475</v>
      </c>
    </row>
    <row r="6" spans="1:14" ht="15">
      <c r="A6" s="30" t="str">
        <v>Nippon India Silver ETF</v>
      </c>
      <c r="B6" s="31" t="e" vm="5">
        <v>#VALUE!</v>
      </c>
      <c r="C6" s="31">
        <f>SUMIFS(IND_TNX!E:E,IND_TNX!B:B,A6,IND_TNX!D:D,"BUY")</f>
        <v>358</v>
      </c>
      <c r="D6" s="35">
        <f>SUMIFS(IND_TNX!F:F,IND_TNX!B:B,A6,IND_TNX!D:D,"BUY") /
SUMIFS(IND_TNX!E:E,IND_TNX!B:B,A6,IND_TNX!D:D,"BUY")</f>
        <v>222.35815642458101</v>
      </c>
      <c r="E6" s="84">
        <f t="shared" si="5"/>
        <v>79604.22</v>
      </c>
      <c r="F6" s="32" cm="1">
        <f t="array" aca="1" ref="F6" ca="1">_FV(B6,"Price")</f>
        <v>251.69</v>
      </c>
      <c r="G6" s="84">
        <f t="shared" ca="1" si="0"/>
        <v>90105.02</v>
      </c>
      <c r="H6" s="41">
        <f t="shared" ca="1" si="1"/>
        <v>0.54884617155743998</v>
      </c>
      <c r="I6" s="82">
        <f t="shared" ca="1" si="2"/>
        <v>10500.800000000003</v>
      </c>
      <c r="J6" s="39">
        <f t="shared" ca="1" si="3"/>
        <v>0.13191260463327198</v>
      </c>
      <c r="K6" s="87">
        <f t="shared" ca="1" si="4"/>
        <v>7.2399728033141542E-2</v>
      </c>
    </row>
    <row r="7" spans="1:14" ht="15">
      <c r="A7" s="30" t="str">
        <v>Tata Gold Exchange Traded Fund</v>
      </c>
      <c r="B7" s="31" t="e" vm="6">
        <v>#VALUE!</v>
      </c>
      <c r="C7" s="31">
        <f>SUMIFS(IND_TNX!E:E,IND_TNX!B:B,A7,IND_TNX!D:D,"BUY")</f>
        <v>100</v>
      </c>
      <c r="D7" s="35">
        <f>SUMIFS(IND_TNX!F:F,IND_TNX!B:B,A7,IND_TNX!D:D,"BUY") /
SUMIFS(IND_TNX!E:E,IND_TNX!B:B,A7,IND_TNX!D:D,"BUY")</f>
        <v>12.9796</v>
      </c>
      <c r="E7" s="84">
        <f t="shared" si="5"/>
        <v>1297.96</v>
      </c>
      <c r="F7" s="32" cm="1">
        <f t="array" aca="1" ref="F7" ca="1">_FV(B7,"Price")</f>
        <v>15.54</v>
      </c>
      <c r="G7" s="84">
        <f t="shared" ca="1" si="0"/>
        <v>1554</v>
      </c>
      <c r="H7" s="41">
        <f t="shared" ca="1" si="1"/>
        <v>9.4656984771798701E-3</v>
      </c>
      <c r="I7" s="82">
        <f t="shared" ca="1" si="2"/>
        <v>256.03999999999996</v>
      </c>
      <c r="J7" s="39">
        <f t="shared" ca="1" si="3"/>
        <v>0.19726339794754844</v>
      </c>
      <c r="K7" s="87">
        <f t="shared" ca="1" si="4"/>
        <v>1.8672358455554359E-3</v>
      </c>
    </row>
    <row r="8" spans="1:14" ht="15">
      <c r="A8" s="30" t="str">
        <v>Suzlon Energy Ltd</v>
      </c>
      <c r="B8" s="31" t="e" vm="7">
        <v>#VALUE!</v>
      </c>
      <c r="C8" s="31">
        <f>SUMIFS(IND_TNX!E:E,IND_TNX!B:B,A8,IND_TNX!D:D,"BUY")</f>
        <v>5</v>
      </c>
      <c r="D8" s="35">
        <f>SUMIFS(IND_TNX!F:F,IND_TNX!B:B,A8,IND_TNX!D:D,"BUY") /
SUMIFS(IND_TNX!E:E,IND_TNX!B:B,A8,IND_TNX!D:D,"BUY")</f>
        <v>52.196000000000005</v>
      </c>
      <c r="E8" s="84">
        <f t="shared" si="5"/>
        <v>260.98</v>
      </c>
      <c r="F8" s="32" cm="1">
        <f t="array" aca="1" ref="F8" ca="1">_FV(B8,"Previous close",TRUE)</f>
        <v>5.5</v>
      </c>
      <c r="G8" s="84">
        <f t="shared" ca="1" si="0"/>
        <v>27.5</v>
      </c>
      <c r="H8" s="41">
        <f t="shared" ca="1" si="1"/>
        <v>1.6750753418432845E-4</v>
      </c>
      <c r="I8" s="82">
        <f t="shared" ca="1" si="2"/>
        <v>-233.48000000000002</v>
      </c>
      <c r="J8" s="39">
        <f t="shared" ca="1" si="3"/>
        <v>-0.89462794083837838</v>
      </c>
      <c r="K8" s="87">
        <f t="shared" ca="1" si="4"/>
        <v>-1.4985692038224004E-4</v>
      </c>
    </row>
    <row r="9" spans="1:14" ht="15">
      <c r="A9" s="30" t="str">
        <v>Indian Overseas Bank</v>
      </c>
      <c r="B9" s="31" t="e" vm="8">
        <v>#VALUE!</v>
      </c>
      <c r="C9" s="31">
        <f>SUMIFS(IND_TNX!E:E,IND_TNX!B:B,A9,IND_TNX!D:D,"BUY")</f>
        <v>8</v>
      </c>
      <c r="D9" s="35">
        <f>SUMIFS(IND_TNX!F:F,IND_TNX!B:B,A9,IND_TNX!D:D,"BUY") /
SUMIFS(IND_TNX!E:E,IND_TNX!B:B,A9,IND_TNX!D:D,"BUY")</f>
        <v>35.15</v>
      </c>
      <c r="E9" s="84">
        <f t="shared" si="5"/>
        <v>281.2</v>
      </c>
      <c r="F9" s="32" cm="1">
        <f t="array" aca="1" ref="F9" ca="1">_FV(B9,"Price")</f>
        <v>33.56</v>
      </c>
      <c r="G9" s="84">
        <f t="shared" ca="1" si="0"/>
        <v>268.48</v>
      </c>
      <c r="H9" s="41">
        <f t="shared" ca="1" si="1"/>
        <v>1.6353608282839458E-3</v>
      </c>
      <c r="I9" s="82">
        <f t="shared" ca="1" si="2"/>
        <v>-12.71999999999997</v>
      </c>
      <c r="J9" s="39">
        <f t="shared" ca="1" si="3"/>
        <v>-4.5234708392603025E-2</v>
      </c>
      <c r="K9" s="87">
        <f t="shared" ca="1" si="4"/>
        <v>-7.3975070184110038E-5</v>
      </c>
    </row>
    <row r="10" spans="1:14">
      <c r="A10" s="2">
        <v>0</v>
      </c>
      <c r="F10" s="2"/>
    </row>
    <row r="11" spans="1:14">
      <c r="F11" s="2"/>
    </row>
    <row r="12" spans="1:14">
      <c r="F12" s="2"/>
    </row>
    <row r="13" spans="1:14" ht="21">
      <c r="A13" s="37"/>
      <c r="B13" s="37"/>
      <c r="F13" s="2"/>
    </row>
    <row r="14" spans="1:14">
      <c r="A14" s="38"/>
      <c r="B14" s="36"/>
      <c r="F14" s="2"/>
    </row>
    <row r="15" spans="1:14">
      <c r="F15" s="2"/>
    </row>
    <row r="16" spans="1:14">
      <c r="F16" s="2"/>
    </row>
    <row r="17" spans="1:6">
      <c r="F17" s="2"/>
    </row>
    <row r="18" spans="1:6">
      <c r="F18" s="2"/>
    </row>
    <row r="19" spans="1:6" ht="21">
      <c r="A19" s="37"/>
      <c r="B19" s="37"/>
      <c r="C19" s="37"/>
      <c r="F19" s="2"/>
    </row>
    <row r="20" spans="1:6">
      <c r="A20" s="36"/>
      <c r="C20" s="8"/>
      <c r="F20" s="2"/>
    </row>
    <row r="21" spans="1:6">
      <c r="F21" s="2"/>
    </row>
    <row r="22" spans="1:6">
      <c r="F22" s="2"/>
    </row>
    <row r="23" spans="1:6">
      <c r="F23" s="2"/>
    </row>
    <row r="24" spans="1:6">
      <c r="F24" s="2"/>
    </row>
    <row r="25" spans="1:6">
      <c r="F25" s="2"/>
    </row>
    <row r="26" spans="1:6">
      <c r="F26" s="2"/>
    </row>
    <row r="27" spans="1:6">
      <c r="F27" s="2"/>
    </row>
    <row r="28" spans="1:6">
      <c r="F28" s="2"/>
    </row>
    <row r="29" spans="1:6">
      <c r="F29" s="2"/>
    </row>
    <row r="30" spans="1:6">
      <c r="F30" s="2"/>
    </row>
    <row r="31" spans="1:6">
      <c r="F31" s="2"/>
    </row>
    <row r="32" spans="1:6">
      <c r="F32" s="2"/>
    </row>
    <row r="33" spans="6:6">
      <c r="F33" s="2"/>
    </row>
    <row r="34" spans="6:6">
      <c r="F34" s="2"/>
    </row>
  </sheetData>
  <mergeCells count="1">
    <mergeCell ref="M1:N1"/>
  </mergeCells>
  <conditionalFormatting sqref="I2:I1048576">
    <cfRule type="cellIs" dxfId="3" priority="3" operator="greaterThan">
      <formula>0</formula>
    </cfRule>
    <cfRule type="cellIs" dxfId="2" priority="4" operator="lessThan">
      <formula>0</formula>
    </cfRule>
  </conditionalFormatting>
  <conditionalFormatting sqref="J2:J1048576">
    <cfRule type="colorScale" priority="2">
      <colorScale>
        <cfvo type="min"/>
        <cfvo type="percentile" val="50"/>
        <cfvo type="max"/>
        <color rgb="FFF8696B"/>
        <color rgb="FFFFEB84"/>
        <color rgb="FF63BE7B"/>
      </colorScale>
    </cfRule>
  </conditionalFormatting>
  <conditionalFormatting sqref="J4">
    <cfRule type="colorScale" priority="1">
      <colorScale>
        <cfvo type="min"/>
        <cfvo type="max"/>
        <color rgb="FFFF0000"/>
        <color rgb="FF00B050"/>
      </colorScale>
    </cfRule>
  </conditionalFormatting>
  <conditionalFormatting sqref="J13">
    <cfRule type="cellIs" dxfId="0" priority="5" operator="greaterThan">
      <formula>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6" operator="containsText" id="{3D0F99DB-D6DA-43D7-B408-C29E5E830C9F}">
            <xm:f>NOT(ISERROR(SEARCH("-",I2)))</xm:f>
            <xm:f>"-"</xm:f>
            <x14:dxf>
              <font>
                <color rgb="FF9C0006"/>
              </font>
              <fill>
                <patternFill>
                  <bgColor rgb="FFFFC7CE"/>
                </patternFill>
              </fill>
            </x14:dxf>
          </x14:cfRule>
          <xm:sqref>I2:I1048576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30B37-C05E-4E2E-8C1A-DA4FF1C5DB54}">
  <sheetPr codeName="Sheet7"/>
  <dimension ref="A1:F9"/>
  <sheetViews>
    <sheetView zoomScale="79" workbookViewId="0">
      <selection activeCell="F8" sqref="F8"/>
    </sheetView>
  </sheetViews>
  <sheetFormatPr defaultRowHeight="14.4"/>
  <cols>
    <col min="1" max="1" width="32" customWidth="1"/>
    <col min="2" max="2" width="29.77734375" customWidth="1"/>
    <col min="3" max="3" width="13.33203125" style="59" customWidth="1"/>
    <col min="4" max="4" width="22.77734375" bestFit="1" customWidth="1"/>
    <col min="5" max="5" width="25.88671875" bestFit="1" customWidth="1"/>
    <col min="6" max="6" width="25.6640625" bestFit="1" customWidth="1"/>
    <col min="7" max="7" width="8.6640625" bestFit="1" customWidth="1"/>
    <col min="8" max="8" width="22.77734375" bestFit="1" customWidth="1"/>
    <col min="9" max="9" width="25.6640625" bestFit="1" customWidth="1"/>
    <col min="10" max="10" width="8.6640625" bestFit="1" customWidth="1"/>
  </cols>
  <sheetData>
    <row r="1" spans="1:6" s="9" customFormat="1" ht="24" customHeight="1">
      <c r="A1" s="123" t="s">
        <v>107</v>
      </c>
      <c r="B1" s="123"/>
      <c r="D1" s="60" t="s">
        <v>101</v>
      </c>
      <c r="E1" s="61" t="s">
        <v>102</v>
      </c>
      <c r="F1" s="62" t="s">
        <v>103</v>
      </c>
    </row>
    <row r="2" spans="1:6" ht="23.4" customHeight="1">
      <c r="A2" s="123"/>
      <c r="B2" s="123"/>
      <c r="D2" s="63" t="s">
        <v>104</v>
      </c>
      <c r="E2" s="63" t="str">
        <f ca="1">INDEX(IND_HOLDINGS!A2:A20, MATCH(MAX(IND_HOLDINGS!H2:H20), IND_HOLDINGS!H2:H20, 0))</f>
        <v>Nippon India Silver ETF</v>
      </c>
      <c r="F2" s="71">
        <f ca="1">MAX(IND_HOLDINGS!H2:H20)</f>
        <v>0.54884617155743998</v>
      </c>
    </row>
    <row r="3" spans="1:6" ht="23.4">
      <c r="A3" s="89" t="s">
        <v>91</v>
      </c>
      <c r="B3" s="90">
        <f>SUM(IND_HOLDINGS!E:E)</f>
        <v>142514.73000000001</v>
      </c>
      <c r="D3" s="63"/>
      <c r="E3" s="63"/>
      <c r="F3" s="64"/>
    </row>
    <row r="4" spans="1:6" ht="23.4">
      <c r="A4" s="89" t="s">
        <v>79</v>
      </c>
      <c r="B4" s="90">
        <f ca="1">SUM(IND_HOLDINGS!G:G)</f>
        <v>164171.72</v>
      </c>
      <c r="D4" s="121" t="s">
        <v>105</v>
      </c>
      <c r="E4" s="121" t="str">
        <f ca="1">INDEX(IND_HOLDINGS!A2:A20, MATCH(MAX(IND_HOLDINGS!I2:I20), IND_HOLDINGS!I2:I20, 0))</f>
        <v>Nippon India Silver ETF</v>
      </c>
      <c r="F4" s="122">
        <f ca="1">MAX(IND_HOLDINGS!I2:I20)</f>
        <v>10500.800000000003</v>
      </c>
    </row>
    <row r="5" spans="1:6" ht="23.4">
      <c r="A5" s="89" t="s">
        <v>108</v>
      </c>
      <c r="B5" s="90">
        <f ca="1">SUM(IND_HOLDINGS!I:I)</f>
        <v>21656.99</v>
      </c>
      <c r="D5" s="65"/>
      <c r="E5" s="65"/>
      <c r="F5" s="66"/>
    </row>
    <row r="6" spans="1:6" ht="23.4">
      <c r="A6" s="89" t="s">
        <v>94</v>
      </c>
      <c r="B6" s="91">
        <f ca="1">SUM(IND_HOLDINGS!I:I)/SUM(IND_HOLDINGS!E:E)</f>
        <v>0.15196316900014475</v>
      </c>
      <c r="D6" s="67" t="s">
        <v>106</v>
      </c>
      <c r="E6" s="67" t="str">
        <f ca="1">INDEX(IND_HOLDINGS!A2:A20, MATCH(MIN(IND_HOLDINGS!I2:I20), IND_HOLDINGS!I2:I20, 0))</f>
        <v>Suzlon Energy Ltd</v>
      </c>
      <c r="F6" s="68">
        <f ca="1">MIN(IND_HOLDINGS!I2:I20)</f>
        <v>-233.48000000000002</v>
      </c>
    </row>
    <row r="7" spans="1:6" ht="23.4">
      <c r="A7" s="89" t="s">
        <v>110</v>
      </c>
      <c r="B7" s="91">
        <f ca="1">(B4/B3)-1</f>
        <v>0.15196316900014462</v>
      </c>
    </row>
    <row r="8" spans="1:6" ht="23.4">
      <c r="A8" s="89" t="s">
        <v>111</v>
      </c>
      <c r="B8" s="92">
        <f>COUNTA(IND_HOLDINGS!A2:A100)</f>
        <v>9</v>
      </c>
    </row>
    <row r="9" spans="1:6" ht="38.4" customHeight="1"/>
  </sheetData>
  <mergeCells count="1">
    <mergeCell ref="A1:B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C52F-4862-4B01-8673-88EECD90753F}">
  <sheetPr codeName="Sheet4"/>
  <dimension ref="A1:E21"/>
  <sheetViews>
    <sheetView topLeftCell="E1" zoomScale="92" workbookViewId="0">
      <pane ySplit="1" topLeftCell="A2" activePane="bottomLeft" state="frozen"/>
      <selection pane="bottomLeft" activeCell="P40" sqref="P40"/>
    </sheetView>
  </sheetViews>
  <sheetFormatPr defaultRowHeight="14.4"/>
  <cols>
    <col min="1" max="1" width="10.33203125" style="2" bestFit="1" customWidth="1"/>
    <col min="2" max="2" width="13.6640625" style="78" bestFit="1" customWidth="1"/>
    <col min="3" max="3" width="18.88671875" style="78" bestFit="1" customWidth="1"/>
    <col min="4" max="4" width="11" style="2" bestFit="1" customWidth="1"/>
    <col min="5" max="5" width="13.88671875" style="73" bestFit="1" customWidth="1"/>
    <col min="6" max="16384" width="8.88671875" style="2"/>
  </cols>
  <sheetData>
    <row r="1" spans="1:5" s="9" customFormat="1" ht="27" customHeight="1">
      <c r="A1" s="56" t="s">
        <v>0</v>
      </c>
      <c r="B1" s="79" t="s">
        <v>77</v>
      </c>
      <c r="C1" s="79" t="s">
        <v>97</v>
      </c>
      <c r="D1" s="57" t="s">
        <v>98</v>
      </c>
      <c r="E1" s="58" t="s">
        <v>81</v>
      </c>
    </row>
    <row r="2" spans="1:5">
      <c r="A2" s="74">
        <v>45902</v>
      </c>
      <c r="B2" s="76">
        <v>83</v>
      </c>
      <c r="C2" s="77">
        <v>83</v>
      </c>
      <c r="D2" s="35">
        <f>C2-B2</f>
        <v>0</v>
      </c>
      <c r="E2" s="75">
        <f t="shared" ref="E2:E12" si="0">IF(B2=0,"",D2/B2)</f>
        <v>0</v>
      </c>
    </row>
    <row r="3" spans="1:5">
      <c r="A3" s="74">
        <v>45923</v>
      </c>
      <c r="B3" s="77">
        <v>1073</v>
      </c>
      <c r="C3" s="77">
        <v>1090</v>
      </c>
      <c r="D3" s="35">
        <f t="shared" ref="D3:D12" si="1">C3-B3</f>
        <v>17</v>
      </c>
      <c r="E3" s="75">
        <f t="shared" si="0"/>
        <v>1.5843429636533086E-2</v>
      </c>
    </row>
    <row r="4" spans="1:5">
      <c r="A4" s="74">
        <v>45976</v>
      </c>
      <c r="B4" s="77">
        <v>1456</v>
      </c>
      <c r="C4" s="77">
        <v>1500</v>
      </c>
      <c r="D4" s="35">
        <f t="shared" si="1"/>
        <v>44</v>
      </c>
      <c r="E4" s="75">
        <f t="shared" si="0"/>
        <v>3.021978021978022E-2</v>
      </c>
    </row>
    <row r="5" spans="1:5">
      <c r="A5" s="74">
        <v>46003</v>
      </c>
      <c r="B5" s="77">
        <v>1291</v>
      </c>
      <c r="C5" s="77">
        <v>1700</v>
      </c>
      <c r="D5" s="35">
        <f t="shared" si="1"/>
        <v>409</v>
      </c>
      <c r="E5" s="75">
        <f t="shared" si="0"/>
        <v>0.31680867544539115</v>
      </c>
    </row>
    <row r="6" spans="1:5">
      <c r="A6" s="74">
        <v>46005</v>
      </c>
      <c r="B6" s="77">
        <v>21958</v>
      </c>
      <c r="C6" s="77">
        <v>23000</v>
      </c>
      <c r="D6" s="35">
        <f t="shared" si="1"/>
        <v>1042</v>
      </c>
      <c r="E6" s="75">
        <f t="shared" si="0"/>
        <v>4.7454230804262684E-2</v>
      </c>
    </row>
    <row r="7" spans="1:5">
      <c r="A7" s="74">
        <v>46008</v>
      </c>
      <c r="B7" s="77">
        <v>22697</v>
      </c>
      <c r="C7" s="77">
        <v>24000</v>
      </c>
      <c r="D7" s="35">
        <f t="shared" si="1"/>
        <v>1303</v>
      </c>
      <c r="E7" s="75">
        <f t="shared" si="0"/>
        <v>5.740846807948187E-2</v>
      </c>
    </row>
    <row r="8" spans="1:5">
      <c r="A8" s="74">
        <v>46020</v>
      </c>
      <c r="B8" s="77">
        <v>142515</v>
      </c>
      <c r="C8" s="77">
        <v>145000</v>
      </c>
      <c r="D8" s="35">
        <f t="shared" si="1"/>
        <v>2485</v>
      </c>
      <c r="E8" s="75">
        <f t="shared" si="0"/>
        <v>1.7436761042697261E-2</v>
      </c>
    </row>
    <row r="9" spans="1:5">
      <c r="A9" s="74">
        <v>46037</v>
      </c>
      <c r="B9" s="77">
        <v>142515</v>
      </c>
      <c r="C9" s="77">
        <v>150500</v>
      </c>
      <c r="D9" s="35">
        <f t="shared" si="1"/>
        <v>7985</v>
      </c>
      <c r="E9" s="75">
        <f t="shared" si="0"/>
        <v>5.6029189909834055E-2</v>
      </c>
    </row>
    <row r="10" spans="1:5">
      <c r="A10" s="74">
        <v>46054</v>
      </c>
      <c r="B10" s="77">
        <v>142515</v>
      </c>
      <c r="C10" s="77">
        <v>154800</v>
      </c>
      <c r="D10" s="35">
        <f t="shared" si="1"/>
        <v>12285</v>
      </c>
      <c r="E10" s="75">
        <f t="shared" si="0"/>
        <v>8.6201452478686449E-2</v>
      </c>
    </row>
    <row r="11" spans="1:5">
      <c r="A11" s="74">
        <v>46073</v>
      </c>
      <c r="B11" s="77">
        <v>142515</v>
      </c>
      <c r="C11" s="77">
        <v>158200</v>
      </c>
      <c r="D11" s="35">
        <f t="shared" si="1"/>
        <v>15685</v>
      </c>
      <c r="E11" s="75">
        <f t="shared" si="0"/>
        <v>0.11005859032382556</v>
      </c>
    </row>
    <row r="12" spans="1:5">
      <c r="A12" s="74">
        <v>46088</v>
      </c>
      <c r="B12" s="77">
        <v>142515</v>
      </c>
      <c r="C12" s="77">
        <v>161355</v>
      </c>
      <c r="D12" s="35">
        <f t="shared" si="1"/>
        <v>18840</v>
      </c>
      <c r="E12" s="75">
        <f t="shared" si="0"/>
        <v>0.13219661088306495</v>
      </c>
    </row>
    <row r="13" spans="1:5">
      <c r="A13" s="72"/>
      <c r="D13" s="36"/>
      <c r="E13" s="73" t="str">
        <f t="shared" ref="E13:E15" si="2">IFERROR(D13/B13,"")</f>
        <v/>
      </c>
    </row>
    <row r="14" spans="1:5">
      <c r="A14" s="72"/>
      <c r="D14" s="36"/>
      <c r="E14" s="73" t="str">
        <f t="shared" si="2"/>
        <v/>
      </c>
    </row>
    <row r="15" spans="1:5">
      <c r="A15" s="72"/>
      <c r="D15" s="36"/>
      <c r="E15" s="73" t="str">
        <f t="shared" si="2"/>
        <v/>
      </c>
    </row>
    <row r="16" spans="1:5">
      <c r="A16" s="72"/>
      <c r="D16" s="36"/>
    </row>
    <row r="17" spans="1:4">
      <c r="A17" s="72"/>
      <c r="D17" s="36"/>
    </row>
    <row r="18" spans="1:4">
      <c r="A18" s="72"/>
      <c r="D18" s="36"/>
    </row>
    <row r="19" spans="1:4">
      <c r="A19" s="72"/>
      <c r="D19" s="36"/>
    </row>
    <row r="20" spans="1:4">
      <c r="A20" s="72"/>
      <c r="D20" s="36"/>
    </row>
    <row r="21" spans="1:4">
      <c r="A21" s="72"/>
      <c r="D21" s="36"/>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6324-BDB5-4CA7-808B-4D5C934416BD}">
  <sheetPr codeName="Sheet8"/>
  <dimension ref="A1:E90"/>
  <sheetViews>
    <sheetView workbookViewId="0">
      <selection activeCell="C40" sqref="C40"/>
    </sheetView>
  </sheetViews>
  <sheetFormatPr defaultRowHeight="14.4"/>
  <cols>
    <col min="1" max="1" width="11.6640625" bestFit="1" customWidth="1"/>
    <col min="2" max="2" width="31" bestFit="1" customWidth="1"/>
    <col min="3" max="3" width="10" bestFit="1" customWidth="1"/>
    <col min="4" max="4" width="6.44140625" bestFit="1" customWidth="1"/>
    <col min="5" max="5" width="9.33203125" bestFit="1" customWidth="1"/>
  </cols>
  <sheetData>
    <row r="1" spans="1:5" ht="16.2" thickBot="1">
      <c r="A1" s="11" t="s">
        <v>0</v>
      </c>
      <c r="B1" s="11" t="s">
        <v>35</v>
      </c>
      <c r="C1" s="11" t="s">
        <v>36</v>
      </c>
      <c r="D1" s="11" t="s">
        <v>37</v>
      </c>
      <c r="E1" s="11" t="s">
        <v>38</v>
      </c>
    </row>
    <row r="2" spans="1:5" ht="16.2" thickBot="1">
      <c r="A2" s="12">
        <v>45295</v>
      </c>
      <c r="B2" s="13" t="s">
        <v>39</v>
      </c>
      <c r="C2" s="14" t="s">
        <v>6</v>
      </c>
      <c r="D2" s="14">
        <v>0.89100000000000001</v>
      </c>
      <c r="E2" s="14">
        <v>561.06299999999999</v>
      </c>
    </row>
    <row r="3" spans="1:5" ht="16.2" thickBot="1">
      <c r="A3" s="12">
        <v>45295</v>
      </c>
      <c r="B3" s="14" t="s">
        <v>40</v>
      </c>
      <c r="C3" s="14" t="s">
        <v>6</v>
      </c>
      <c r="D3" s="14">
        <v>5.7370000000000001</v>
      </c>
      <c r="E3" s="14">
        <v>87.1447</v>
      </c>
    </row>
    <row r="4" spans="1:5" ht="16.2" thickBot="1">
      <c r="A4" s="12">
        <v>45569</v>
      </c>
      <c r="B4" s="13" t="s">
        <v>39</v>
      </c>
      <c r="C4" s="14" t="s">
        <v>6</v>
      </c>
      <c r="D4" s="14">
        <v>0.877</v>
      </c>
      <c r="E4" s="14">
        <v>569.94299999999998</v>
      </c>
    </row>
    <row r="5" spans="1:5" ht="16.2" thickBot="1">
      <c r="A5" s="12">
        <v>45569</v>
      </c>
      <c r="B5" s="14" t="s">
        <v>40</v>
      </c>
      <c r="C5" s="14" t="s">
        <v>6</v>
      </c>
      <c r="D5" s="14">
        <v>5.64</v>
      </c>
      <c r="E5" s="14">
        <v>88.648700000000005</v>
      </c>
    </row>
    <row r="6" spans="1:5" ht="16.2" thickBot="1">
      <c r="A6" s="14" t="s">
        <v>41</v>
      </c>
      <c r="B6" s="13" t="s">
        <v>39</v>
      </c>
      <c r="C6" s="14" t="s">
        <v>6</v>
      </c>
      <c r="D6" s="14">
        <v>0.88700000000000001</v>
      </c>
      <c r="E6" s="14">
        <v>563.58600000000001</v>
      </c>
    </row>
    <row r="7" spans="1:5" ht="16.2" thickBot="1">
      <c r="A7" s="14" t="s">
        <v>41</v>
      </c>
      <c r="B7" s="14" t="s">
        <v>40</v>
      </c>
      <c r="C7" s="14" t="s">
        <v>6</v>
      </c>
      <c r="D7" s="14">
        <v>5.7350000000000003</v>
      </c>
      <c r="E7" s="14">
        <v>87.174000000000007</v>
      </c>
    </row>
    <row r="8" spans="1:5" ht="16.2" thickBot="1">
      <c r="A8" s="12">
        <v>45633</v>
      </c>
      <c r="B8" s="13" t="s">
        <v>39</v>
      </c>
      <c r="C8" s="14" t="s">
        <v>6</v>
      </c>
      <c r="D8" s="14">
        <v>0.78700000000000003</v>
      </c>
      <c r="E8" s="14">
        <v>635.35799999999995</v>
      </c>
    </row>
    <row r="9" spans="1:5" ht="16.2" thickBot="1">
      <c r="A9" s="12">
        <v>45633</v>
      </c>
      <c r="B9" s="14" t="s">
        <v>40</v>
      </c>
      <c r="C9" s="14" t="s">
        <v>6</v>
      </c>
      <c r="D9" s="14">
        <v>5.1340000000000003</v>
      </c>
      <c r="E9" s="14">
        <v>97.378500000000003</v>
      </c>
    </row>
    <row r="10" spans="1:5" ht="16.2" thickBot="1">
      <c r="A10" s="14" t="s">
        <v>42</v>
      </c>
      <c r="B10" s="13" t="s">
        <v>39</v>
      </c>
      <c r="C10" s="14" t="s">
        <v>6</v>
      </c>
      <c r="D10" s="14">
        <v>0.76900000000000002</v>
      </c>
      <c r="E10" s="14">
        <v>649.82600000000002</v>
      </c>
    </row>
    <row r="11" spans="1:5" ht="16.2" thickBot="1">
      <c r="A11" s="14" t="s">
        <v>42</v>
      </c>
      <c r="B11" s="14" t="s">
        <v>40</v>
      </c>
      <c r="C11" s="14" t="s">
        <v>6</v>
      </c>
      <c r="D11" s="14">
        <v>5.0620000000000003</v>
      </c>
      <c r="E11" s="14">
        <v>98.778899999999993</v>
      </c>
    </row>
    <row r="12" spans="1:5" ht="16.2" thickBot="1">
      <c r="A12" s="14" t="s">
        <v>43</v>
      </c>
      <c r="B12" s="13" t="s">
        <v>39</v>
      </c>
      <c r="C12" s="14" t="s">
        <v>6</v>
      </c>
      <c r="D12" s="14">
        <v>0.74199999999999999</v>
      </c>
      <c r="E12" s="14">
        <v>673.77300000000002</v>
      </c>
    </row>
    <row r="13" spans="1:5" ht="16.2" thickBot="1">
      <c r="A13" s="14" t="s">
        <v>43</v>
      </c>
      <c r="B13" s="14" t="s">
        <v>40</v>
      </c>
      <c r="C13" s="14" t="s">
        <v>6</v>
      </c>
      <c r="D13" s="14">
        <v>4.9189999999999996</v>
      </c>
      <c r="E13" s="14">
        <v>101.6433</v>
      </c>
    </row>
    <row r="14" spans="1:5" ht="16.2" thickBot="1">
      <c r="A14" s="14" t="s">
        <v>44</v>
      </c>
      <c r="B14" s="13" t="s">
        <v>39</v>
      </c>
      <c r="C14" s="14" t="s">
        <v>6</v>
      </c>
      <c r="D14" s="14">
        <v>0.79200000000000004</v>
      </c>
      <c r="E14" s="14">
        <v>631.23500000000001</v>
      </c>
    </row>
    <row r="15" spans="1:5" ht="16.2" thickBot="1">
      <c r="A15" s="14" t="s">
        <v>44</v>
      </c>
      <c r="B15" s="14" t="s">
        <v>40</v>
      </c>
      <c r="C15" s="14" t="s">
        <v>6</v>
      </c>
      <c r="D15" s="14">
        <v>5.2069999999999999</v>
      </c>
      <c r="E15" s="14">
        <v>96.017200000000003</v>
      </c>
    </row>
    <row r="16" spans="1:5" ht="16.2" thickBot="1">
      <c r="A16" s="14" t="s">
        <v>45</v>
      </c>
      <c r="B16" s="13" t="s">
        <v>39</v>
      </c>
      <c r="C16" s="14" t="s">
        <v>6</v>
      </c>
      <c r="D16" s="14">
        <v>0.78900000000000003</v>
      </c>
      <c r="E16" s="14">
        <v>633.36900000000003</v>
      </c>
    </row>
    <row r="17" spans="1:5" ht="16.2" thickBot="1">
      <c r="A17" s="14" t="s">
        <v>45</v>
      </c>
      <c r="B17" s="14" t="s">
        <v>40</v>
      </c>
      <c r="C17" s="14" t="s">
        <v>6</v>
      </c>
      <c r="D17" s="14">
        <v>5.1609999999999996</v>
      </c>
      <c r="E17" s="14">
        <v>96.879800000000003</v>
      </c>
    </row>
    <row r="18" spans="1:5" ht="16.2" thickBot="1">
      <c r="A18" s="14" t="s">
        <v>46</v>
      </c>
      <c r="B18" s="13" t="s">
        <v>39</v>
      </c>
      <c r="C18" s="14" t="s">
        <v>6</v>
      </c>
      <c r="D18" s="14">
        <v>0.79600000000000004</v>
      </c>
      <c r="E18" s="14">
        <v>628.36699999999996</v>
      </c>
    </row>
    <row r="19" spans="1:5" ht="16.2" thickBot="1">
      <c r="A19" s="14" t="s">
        <v>46</v>
      </c>
      <c r="B19" s="14" t="s">
        <v>40</v>
      </c>
      <c r="C19" s="14" t="s">
        <v>6</v>
      </c>
      <c r="D19" s="14">
        <v>5.1980000000000004</v>
      </c>
      <c r="E19" s="14">
        <v>96.190100000000001</v>
      </c>
    </row>
    <row r="20" spans="1:5" ht="16.2" thickBot="1">
      <c r="A20" s="14" t="s">
        <v>47</v>
      </c>
      <c r="B20" s="13" t="s">
        <v>39</v>
      </c>
      <c r="C20" s="14" t="s">
        <v>6</v>
      </c>
      <c r="D20" s="14">
        <v>0.84199999999999997</v>
      </c>
      <c r="E20" s="14">
        <v>594.02</v>
      </c>
    </row>
    <row r="21" spans="1:5" ht="16.2" thickBot="1">
      <c r="A21" s="14" t="s">
        <v>47</v>
      </c>
      <c r="B21" s="14" t="s">
        <v>40</v>
      </c>
      <c r="C21" s="14" t="s">
        <v>6</v>
      </c>
      <c r="D21" s="14">
        <v>5.5419999999999998</v>
      </c>
      <c r="E21" s="14">
        <v>90.222700000000003</v>
      </c>
    </row>
    <row r="22" spans="1:5" ht="16.2" thickBot="1">
      <c r="A22" s="14" t="s">
        <v>48</v>
      </c>
      <c r="B22" s="13" t="s">
        <v>39</v>
      </c>
      <c r="C22" s="14" t="s">
        <v>6</v>
      </c>
      <c r="D22" s="14">
        <v>0.86099999999999999</v>
      </c>
      <c r="E22" s="14">
        <v>580.75300000000004</v>
      </c>
    </row>
    <row r="23" spans="1:5" ht="16.2" thickBot="1">
      <c r="A23" s="14" t="s">
        <v>48</v>
      </c>
      <c r="B23" s="14" t="s">
        <v>40</v>
      </c>
      <c r="C23" s="14" t="s">
        <v>6</v>
      </c>
      <c r="D23" s="14">
        <v>5.633</v>
      </c>
      <c r="E23" s="14">
        <v>88.760499999999993</v>
      </c>
    </row>
    <row r="24" spans="1:5" ht="16.2" thickBot="1">
      <c r="A24" s="14" t="s">
        <v>49</v>
      </c>
      <c r="B24" s="13" t="s">
        <v>39</v>
      </c>
      <c r="C24" s="14" t="s">
        <v>6</v>
      </c>
      <c r="D24" s="14">
        <v>0.72299999999999998</v>
      </c>
      <c r="E24" s="14">
        <v>621.97</v>
      </c>
    </row>
    <row r="25" spans="1:5" ht="16.2" thickBot="1">
      <c r="A25" s="14" t="s">
        <v>49</v>
      </c>
      <c r="B25" s="14" t="s">
        <v>40</v>
      </c>
      <c r="C25" s="14" t="s">
        <v>6</v>
      </c>
      <c r="D25" s="14">
        <v>4.742</v>
      </c>
      <c r="E25" s="14">
        <v>94.884399999999999</v>
      </c>
    </row>
    <row r="26" spans="1:5" ht="16.2" thickBot="1">
      <c r="A26" s="12">
        <v>45694</v>
      </c>
      <c r="B26" s="13" t="s">
        <v>39</v>
      </c>
      <c r="C26" s="14" t="s">
        <v>6</v>
      </c>
      <c r="D26" s="14">
        <v>0.77400000000000002</v>
      </c>
      <c r="E26" s="14">
        <v>645.75900000000001</v>
      </c>
    </row>
    <row r="27" spans="1:5" ht="16.2" thickBot="1">
      <c r="A27" s="12">
        <v>45694</v>
      </c>
      <c r="B27" s="14" t="s">
        <v>40</v>
      </c>
      <c r="C27" s="14" t="s">
        <v>6</v>
      </c>
      <c r="D27" s="14">
        <v>5.0359999999999996</v>
      </c>
      <c r="E27" s="14">
        <v>99.273600000000002</v>
      </c>
    </row>
    <row r="28" spans="1:5" ht="16.2" thickBot="1">
      <c r="A28" s="12">
        <v>45664</v>
      </c>
      <c r="B28" s="13" t="s">
        <v>39</v>
      </c>
      <c r="C28" s="14" t="s">
        <v>6</v>
      </c>
      <c r="D28" s="14">
        <v>0.45</v>
      </c>
      <c r="E28" s="14">
        <v>666.78899999999999</v>
      </c>
    </row>
    <row r="29" spans="1:5" ht="16.2" thickBot="1">
      <c r="A29" s="12">
        <v>45664</v>
      </c>
      <c r="B29" s="14" t="s">
        <v>40</v>
      </c>
      <c r="C29" s="14" t="s">
        <v>6</v>
      </c>
      <c r="D29" s="14">
        <v>2.9329999999999998</v>
      </c>
      <c r="E29" s="14">
        <v>102.27379999999999</v>
      </c>
    </row>
    <row r="30" spans="1:5" ht="16.2" thickBot="1">
      <c r="A30" s="14" t="s">
        <v>50</v>
      </c>
      <c r="B30" s="13" t="s">
        <v>39</v>
      </c>
      <c r="C30" s="14" t="s">
        <v>6</v>
      </c>
      <c r="D30" s="14">
        <v>0.75900000000000001</v>
      </c>
      <c r="E30" s="14">
        <v>658.46500000000003</v>
      </c>
    </row>
    <row r="31" spans="1:5" ht="16.2" thickBot="1">
      <c r="A31" s="14" t="s">
        <v>50</v>
      </c>
      <c r="B31" s="14" t="s">
        <v>40</v>
      </c>
      <c r="C31" s="14" t="s">
        <v>6</v>
      </c>
      <c r="D31" s="14">
        <v>4.9340000000000002</v>
      </c>
      <c r="E31" s="14">
        <v>101.32810000000001</v>
      </c>
    </row>
    <row r="32" spans="1:5" ht="16.2" thickBot="1">
      <c r="A32" s="14" t="s">
        <v>51</v>
      </c>
      <c r="B32" s="13" t="s">
        <v>39</v>
      </c>
      <c r="C32" s="14" t="s">
        <v>6</v>
      </c>
      <c r="D32" s="14">
        <v>0.75700000000000001</v>
      </c>
      <c r="E32" s="14">
        <v>660.06799999999998</v>
      </c>
    </row>
    <row r="33" spans="1:5" ht="16.2" thickBot="1">
      <c r="A33" s="14" t="s">
        <v>51</v>
      </c>
      <c r="B33" s="14" t="s">
        <v>40</v>
      </c>
      <c r="C33" s="14" t="s">
        <v>6</v>
      </c>
      <c r="D33" s="14">
        <v>4.8860000000000001</v>
      </c>
      <c r="E33" s="14">
        <v>102.3387</v>
      </c>
    </row>
    <row r="34" spans="1:5" ht="16.2" thickBot="1">
      <c r="A34" s="14" t="s">
        <v>52</v>
      </c>
      <c r="B34" s="13" t="s">
        <v>39</v>
      </c>
      <c r="C34" s="14" t="s">
        <v>6</v>
      </c>
      <c r="D34" s="14">
        <v>0.84299999999999997</v>
      </c>
      <c r="E34" s="14">
        <v>652.649</v>
      </c>
    </row>
    <row r="35" spans="1:5" ht="16.2" thickBot="1">
      <c r="A35" s="14" t="s">
        <v>52</v>
      </c>
      <c r="B35" s="14" t="s">
        <v>40</v>
      </c>
      <c r="C35" s="14" t="s">
        <v>6</v>
      </c>
      <c r="D35" s="14">
        <v>5.4279999999999999</v>
      </c>
      <c r="E35" s="14">
        <v>101.3125</v>
      </c>
    </row>
    <row r="36" spans="1:5" ht="16.2" thickBot="1">
      <c r="A36" s="14" t="s">
        <v>53</v>
      </c>
      <c r="B36" s="13" t="s">
        <v>39</v>
      </c>
      <c r="C36" s="14" t="s">
        <v>6</v>
      </c>
      <c r="D36" s="14">
        <v>0.80400000000000005</v>
      </c>
      <c r="E36" s="14">
        <v>684.16499999999996</v>
      </c>
    </row>
    <row r="37" spans="1:5" ht="16.2" thickBot="1">
      <c r="A37" s="14" t="s">
        <v>53</v>
      </c>
      <c r="B37" s="14" t="s">
        <v>40</v>
      </c>
      <c r="C37" s="14" t="s">
        <v>6</v>
      </c>
      <c r="D37" s="14">
        <v>5.2279999999999998</v>
      </c>
      <c r="E37" s="14">
        <v>105.1974</v>
      </c>
    </row>
    <row r="38" spans="1:5" ht="16.2" thickBot="1">
      <c r="A38" s="14" t="s">
        <v>54</v>
      </c>
      <c r="B38" s="13" t="s">
        <v>39</v>
      </c>
      <c r="C38" s="14" t="s">
        <v>6</v>
      </c>
      <c r="D38" s="14">
        <v>0.79700000000000004</v>
      </c>
      <c r="E38" s="14">
        <v>690.07399999999996</v>
      </c>
    </row>
    <row r="39" spans="1:5" ht="16.2" thickBot="1">
      <c r="A39" s="14" t="s">
        <v>54</v>
      </c>
      <c r="B39" s="14" t="s">
        <v>40</v>
      </c>
      <c r="C39" s="14" t="s">
        <v>6</v>
      </c>
      <c r="D39" s="14">
        <v>5.2089999999999996</v>
      </c>
      <c r="E39" s="14">
        <v>105.57550000000001</v>
      </c>
    </row>
    <row r="40" spans="1:5" ht="16.2" thickBot="1">
      <c r="A40" s="1"/>
      <c r="B40" s="14" t="s">
        <v>40</v>
      </c>
      <c r="C40" s="14" t="s">
        <v>6</v>
      </c>
      <c r="D40" s="1"/>
      <c r="E40" s="1"/>
    </row>
    <row r="41" spans="1:5" ht="16.2" thickBot="1">
      <c r="A41" s="1"/>
      <c r="B41" s="14" t="s">
        <v>55</v>
      </c>
      <c r="C41" s="14" t="s">
        <v>6</v>
      </c>
      <c r="D41" s="1"/>
      <c r="E41" s="1"/>
    </row>
    <row r="42" spans="1:5" ht="15" thickBot="1">
      <c r="A42" s="1"/>
      <c r="B42" s="1"/>
      <c r="C42" s="1"/>
      <c r="D42" s="1"/>
      <c r="E42" s="1"/>
    </row>
    <row r="43" spans="1:5" ht="15" thickBot="1">
      <c r="A43" s="1"/>
      <c r="B43" s="1"/>
      <c r="C43" s="1"/>
      <c r="D43" s="1"/>
      <c r="E43" s="1"/>
    </row>
    <row r="44" spans="1:5" ht="15" thickBot="1">
      <c r="A44" s="1"/>
      <c r="B44" s="1"/>
      <c r="C44" s="1"/>
      <c r="D44" s="1"/>
      <c r="E44" s="1"/>
    </row>
    <row r="45" spans="1:5" ht="15" thickBot="1">
      <c r="A45" s="1"/>
      <c r="B45" s="1"/>
      <c r="C45" s="1"/>
      <c r="D45" s="1"/>
      <c r="E45" s="1"/>
    </row>
    <row r="46" spans="1:5" ht="15" thickBot="1">
      <c r="A46" s="1"/>
      <c r="B46" s="1"/>
      <c r="C46" s="1"/>
      <c r="D46" s="1"/>
      <c r="E46" s="1"/>
    </row>
    <row r="47" spans="1:5" ht="15" thickBot="1">
      <c r="A47" s="1"/>
      <c r="B47" s="1"/>
      <c r="C47" s="1"/>
      <c r="D47" s="1"/>
      <c r="E47" s="1"/>
    </row>
    <row r="48" spans="1:5" ht="15" thickBot="1">
      <c r="A48" s="1"/>
      <c r="B48" s="1"/>
      <c r="C48" s="1"/>
      <c r="D48" s="1"/>
      <c r="E48" s="1"/>
    </row>
    <row r="49" spans="1:5" ht="15" thickBot="1">
      <c r="A49" s="10"/>
      <c r="B49" s="10"/>
      <c r="C49" s="10"/>
      <c r="D49" s="10"/>
      <c r="E49" s="10"/>
    </row>
    <row r="50" spans="1:5" ht="15" thickBot="1">
      <c r="A50" s="10"/>
      <c r="B50" s="10"/>
      <c r="C50" s="10"/>
      <c r="D50" s="10"/>
      <c r="E50" s="10"/>
    </row>
    <row r="51" spans="1:5" ht="15" thickBot="1">
      <c r="A51" s="10"/>
      <c r="B51" s="10"/>
      <c r="C51" s="10"/>
      <c r="D51" s="10"/>
      <c r="E51" s="10"/>
    </row>
    <row r="52" spans="1:5" ht="15" thickBot="1">
      <c r="A52" s="10"/>
      <c r="B52" s="10"/>
      <c r="C52" s="10"/>
      <c r="D52" s="10"/>
      <c r="E52" s="10"/>
    </row>
    <row r="53" spans="1:5" ht="15" thickBot="1">
      <c r="A53" s="10"/>
      <c r="B53" s="10"/>
      <c r="C53" s="10"/>
      <c r="D53" s="10"/>
      <c r="E53" s="10"/>
    </row>
    <row r="54" spans="1:5" ht="15" thickBot="1">
      <c r="A54" s="10"/>
      <c r="B54" s="10"/>
      <c r="C54" s="10"/>
      <c r="D54" s="10"/>
      <c r="E54" s="10"/>
    </row>
    <row r="55" spans="1:5" ht="15" thickBot="1">
      <c r="A55" s="10"/>
      <c r="B55" s="10"/>
      <c r="C55" s="10"/>
      <c r="D55" s="10"/>
      <c r="E55" s="10"/>
    </row>
    <row r="56" spans="1:5" ht="15" thickBot="1">
      <c r="A56" s="10"/>
      <c r="B56" s="10"/>
      <c r="C56" s="10"/>
      <c r="D56" s="10"/>
      <c r="E56" s="10"/>
    </row>
    <row r="57" spans="1:5" ht="15" thickBot="1">
      <c r="A57" s="10"/>
      <c r="B57" s="10"/>
      <c r="C57" s="10"/>
      <c r="D57" s="10"/>
      <c r="E57" s="10"/>
    </row>
    <row r="58" spans="1:5" ht="15" thickBot="1">
      <c r="A58" s="10"/>
      <c r="B58" s="10"/>
      <c r="C58" s="10"/>
      <c r="D58" s="10"/>
      <c r="E58" s="10"/>
    </row>
    <row r="59" spans="1:5" ht="15" thickBot="1">
      <c r="A59" s="10"/>
      <c r="B59" s="10"/>
      <c r="C59" s="10"/>
      <c r="D59" s="10"/>
      <c r="E59" s="10"/>
    </row>
    <row r="60" spans="1:5" ht="15" thickBot="1">
      <c r="A60" s="10"/>
      <c r="B60" s="10"/>
      <c r="C60" s="10"/>
      <c r="D60" s="10"/>
      <c r="E60" s="10"/>
    </row>
    <row r="61" spans="1:5" ht="15" thickBot="1">
      <c r="A61" s="10"/>
      <c r="B61" s="10"/>
      <c r="C61" s="10"/>
      <c r="D61" s="10"/>
      <c r="E61" s="10"/>
    </row>
    <row r="62" spans="1:5" ht="15" thickBot="1">
      <c r="A62" s="10"/>
      <c r="B62" s="10"/>
      <c r="C62" s="10"/>
      <c r="D62" s="10"/>
      <c r="E62" s="10"/>
    </row>
    <row r="63" spans="1:5" ht="15" thickBot="1">
      <c r="A63" s="10"/>
      <c r="B63" s="10"/>
      <c r="C63" s="10"/>
      <c r="D63" s="10"/>
      <c r="E63" s="10"/>
    </row>
    <row r="64" spans="1:5" ht="15" thickBot="1">
      <c r="A64" s="10"/>
      <c r="B64" s="10"/>
      <c r="C64" s="10"/>
      <c r="D64" s="10"/>
      <c r="E64" s="10"/>
    </row>
    <row r="65" spans="1:5" ht="15" thickBot="1">
      <c r="A65" s="10"/>
      <c r="B65" s="10"/>
      <c r="C65" s="10"/>
      <c r="D65" s="10"/>
      <c r="E65" s="10"/>
    </row>
    <row r="66" spans="1:5" ht="15" thickBot="1">
      <c r="A66" s="10"/>
      <c r="B66" s="10"/>
      <c r="C66" s="10"/>
      <c r="D66" s="10"/>
      <c r="E66" s="10"/>
    </row>
    <row r="67" spans="1:5" ht="15" thickBot="1">
      <c r="A67" s="10"/>
      <c r="B67" s="10"/>
      <c r="C67" s="10"/>
      <c r="D67" s="10"/>
      <c r="E67" s="10"/>
    </row>
    <row r="68" spans="1:5" ht="15" thickBot="1">
      <c r="A68" s="10"/>
      <c r="B68" s="10"/>
      <c r="C68" s="10"/>
      <c r="D68" s="10"/>
      <c r="E68" s="10"/>
    </row>
    <row r="69" spans="1:5" ht="15" thickBot="1">
      <c r="A69" s="10"/>
      <c r="B69" s="10"/>
      <c r="C69" s="10"/>
      <c r="D69" s="10"/>
      <c r="E69" s="10"/>
    </row>
    <row r="70" spans="1:5" ht="15" thickBot="1">
      <c r="A70" s="10"/>
      <c r="B70" s="10"/>
      <c r="C70" s="10"/>
      <c r="D70" s="10"/>
      <c r="E70" s="10"/>
    </row>
    <row r="71" spans="1:5" ht="15" thickBot="1">
      <c r="A71" s="10"/>
      <c r="B71" s="10"/>
      <c r="C71" s="10"/>
      <c r="D71" s="10"/>
      <c r="E71" s="10"/>
    </row>
    <row r="72" spans="1:5" ht="15" thickBot="1">
      <c r="A72" s="10"/>
      <c r="B72" s="10"/>
      <c r="C72" s="10"/>
      <c r="D72" s="10"/>
      <c r="E72" s="10"/>
    </row>
    <row r="73" spans="1:5" ht="15" thickBot="1">
      <c r="A73" s="10"/>
      <c r="B73" s="10"/>
      <c r="C73" s="10"/>
      <c r="D73" s="10"/>
      <c r="E73" s="10"/>
    </row>
    <row r="74" spans="1:5" ht="15" thickBot="1">
      <c r="A74" s="10"/>
      <c r="B74" s="10"/>
      <c r="C74" s="10"/>
      <c r="D74" s="10"/>
      <c r="E74" s="10"/>
    </row>
    <row r="75" spans="1:5" ht="15" thickBot="1">
      <c r="A75" s="10"/>
      <c r="B75" s="10"/>
      <c r="C75" s="10"/>
      <c r="D75" s="10"/>
      <c r="E75" s="10"/>
    </row>
    <row r="76" spans="1:5" ht="15" thickBot="1">
      <c r="A76" s="10"/>
      <c r="B76" s="10"/>
      <c r="C76" s="10"/>
      <c r="D76" s="10"/>
      <c r="E76" s="10"/>
    </row>
    <row r="77" spans="1:5" ht="15" thickBot="1">
      <c r="A77" s="10"/>
      <c r="B77" s="10"/>
      <c r="C77" s="10"/>
      <c r="D77" s="10"/>
      <c r="E77" s="10"/>
    </row>
    <row r="78" spans="1:5" ht="15" thickBot="1">
      <c r="A78" s="10"/>
      <c r="B78" s="10"/>
      <c r="C78" s="10"/>
      <c r="D78" s="10"/>
      <c r="E78" s="10"/>
    </row>
    <row r="79" spans="1:5" ht="15" thickBot="1">
      <c r="A79" s="10"/>
      <c r="B79" s="10"/>
      <c r="C79" s="10"/>
      <c r="D79" s="10"/>
      <c r="E79" s="10"/>
    </row>
    <row r="80" spans="1:5" ht="15" thickBot="1">
      <c r="A80" s="10"/>
      <c r="B80" s="10"/>
      <c r="C80" s="10"/>
      <c r="D80" s="10"/>
      <c r="E80" s="10"/>
    </row>
    <row r="81" spans="1:5" ht="15" thickBot="1">
      <c r="A81" s="10"/>
      <c r="B81" s="10"/>
      <c r="C81" s="10"/>
      <c r="D81" s="10"/>
      <c r="E81" s="10"/>
    </row>
    <row r="82" spans="1:5" ht="15" thickBot="1">
      <c r="A82" s="10"/>
      <c r="B82" s="10"/>
      <c r="C82" s="10"/>
      <c r="D82" s="10"/>
      <c r="E82" s="10"/>
    </row>
    <row r="83" spans="1:5" ht="15" thickBot="1">
      <c r="A83" s="10"/>
      <c r="B83" s="10"/>
      <c r="C83" s="10"/>
      <c r="D83" s="10"/>
      <c r="E83" s="10"/>
    </row>
    <row r="84" spans="1:5" ht="15" thickBot="1">
      <c r="A84" s="10"/>
      <c r="B84" s="10"/>
      <c r="C84" s="10"/>
      <c r="D84" s="10"/>
      <c r="E84" s="10"/>
    </row>
    <row r="85" spans="1:5" ht="15" thickBot="1">
      <c r="A85" s="10"/>
      <c r="B85" s="10"/>
      <c r="C85" s="10"/>
      <c r="D85" s="10"/>
      <c r="E85" s="10"/>
    </row>
    <row r="86" spans="1:5" ht="15" thickBot="1">
      <c r="A86" s="10"/>
      <c r="B86" s="10"/>
      <c r="C86" s="10"/>
      <c r="D86" s="10"/>
      <c r="E86" s="10"/>
    </row>
    <row r="87" spans="1:5" ht="15" thickBot="1">
      <c r="A87" s="10"/>
      <c r="B87" s="10"/>
      <c r="C87" s="10"/>
      <c r="D87" s="10"/>
      <c r="E87" s="10"/>
    </row>
    <row r="88" spans="1:5" ht="15" thickBot="1">
      <c r="A88" s="10"/>
      <c r="B88" s="10"/>
      <c r="C88" s="10"/>
      <c r="D88" s="10"/>
      <c r="E88" s="10"/>
    </row>
    <row r="89" spans="1:5" ht="15" thickBot="1">
      <c r="A89" s="10"/>
      <c r="B89" s="10"/>
      <c r="C89" s="10"/>
      <c r="D89" s="10"/>
      <c r="E89" s="10"/>
    </row>
    <row r="90" spans="1:5" ht="15" thickBot="1">
      <c r="A90" s="10"/>
      <c r="B90" s="10"/>
      <c r="C90" s="10"/>
      <c r="D90" s="10"/>
      <c r="E90"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8428-A7D6-4E81-A7F0-24FF0BDB66A0}">
  <sheetPr codeName="Sheet9"/>
  <dimension ref="A1:P8"/>
  <sheetViews>
    <sheetView zoomScale="80" workbookViewId="0">
      <selection activeCell="E5" sqref="E5"/>
    </sheetView>
  </sheetViews>
  <sheetFormatPr defaultColWidth="47.109375" defaultRowHeight="14.4"/>
  <cols>
    <col min="1" max="1" width="30.77734375" bestFit="1" customWidth="1"/>
    <col min="2" max="2" width="9.33203125" bestFit="1" customWidth="1"/>
    <col min="3" max="3" width="14.33203125" bestFit="1" customWidth="1"/>
    <col min="4" max="4" width="12.5546875" bestFit="1" customWidth="1"/>
    <col min="5" max="5" width="11.5546875" bestFit="1" customWidth="1"/>
    <col min="6" max="6" width="10" style="101" bestFit="1" customWidth="1"/>
    <col min="7" max="7" width="8.77734375" style="103" bestFit="1" customWidth="1"/>
    <col min="8" max="8" width="13.6640625" style="101" customWidth="1"/>
    <col min="9" max="9" width="9.88671875" style="105" customWidth="1"/>
    <col min="10" max="10" width="15.5546875" bestFit="1" customWidth="1"/>
    <col min="11" max="11" width="16" bestFit="1" customWidth="1"/>
    <col min="12" max="12" width="8.77734375" bestFit="1" customWidth="1"/>
    <col min="13" max="13" width="8.77734375" style="99" bestFit="1" customWidth="1"/>
    <col min="14" max="14" width="2" bestFit="1" customWidth="1"/>
    <col min="15" max="15" width="10.77734375" bestFit="1" customWidth="1"/>
    <col min="16" max="16" width="14.21875" bestFit="1" customWidth="1"/>
  </cols>
  <sheetData>
    <row r="1" spans="1:16" s="120" customFormat="1" ht="31.2">
      <c r="A1" s="114" t="s">
        <v>112</v>
      </c>
      <c r="B1" s="114" t="s">
        <v>117</v>
      </c>
      <c r="C1" s="114" t="s">
        <v>116</v>
      </c>
      <c r="D1" s="114" t="s">
        <v>115</v>
      </c>
      <c r="E1" s="114" t="s">
        <v>118</v>
      </c>
      <c r="F1" s="115" t="s">
        <v>77</v>
      </c>
      <c r="G1" s="116" t="s">
        <v>79</v>
      </c>
      <c r="H1" s="115" t="s">
        <v>113</v>
      </c>
      <c r="I1" s="117" t="s">
        <v>114</v>
      </c>
      <c r="J1" s="118"/>
      <c r="K1" s="118"/>
      <c r="L1" s="118"/>
      <c r="M1" s="119"/>
      <c r="N1" s="118"/>
      <c r="O1" s="118"/>
      <c r="P1" s="118"/>
    </row>
    <row r="2" spans="1:16">
      <c r="A2" s="106" t="str" cm="1">
        <f t="array" ref="A2:A4">_xlfn.UNIQUE(_xlfn._xlws.FILTER(SIP!B2:B100,SIP!B2:B100&lt;&gt;""))</f>
        <v>KOTAK LARGE CAP FUND</v>
      </c>
      <c r="B2" s="106" t="s">
        <v>119</v>
      </c>
      <c r="C2" s="106">
        <v>643</v>
      </c>
      <c r="D2" s="107">
        <f>SUMIF(SIP!B:B,A2,SIP!D:D)</f>
        <v>14.940000000000001</v>
      </c>
      <c r="E2" s="106">
        <f>IFERROR(F2/D2,0)</f>
        <v>629.09062784471223</v>
      </c>
      <c r="F2" s="108" cm="1">
        <f t="array" ref="F2">SUMPRODUCT((SIP!B2:B100=A2)*(SIP!D2:D100)*(SIP!E2:E100))</f>
        <v>9398.6139800000019</v>
      </c>
      <c r="G2" s="109">
        <f>D2*C2</f>
        <v>9606.42</v>
      </c>
      <c r="H2" s="108">
        <f>IFERROR(G2-F2,0)</f>
        <v>207.80601999999817</v>
      </c>
      <c r="I2" s="110">
        <f>IFERROR(H2/F2,0)</f>
        <v>2.2110283542041816E-2</v>
      </c>
      <c r="J2" s="94"/>
      <c r="K2" s="95"/>
      <c r="L2" s="94"/>
      <c r="M2" s="97"/>
      <c r="N2" s="94"/>
      <c r="O2" s="94"/>
      <c r="P2" s="94"/>
    </row>
    <row r="3" spans="1:16">
      <c r="A3" s="107" t="str">
        <v>NIPPON INDIA LARGE CAP FUND</v>
      </c>
      <c r="B3" s="106" t="s">
        <v>119</v>
      </c>
      <c r="C3" s="107">
        <v>98</v>
      </c>
      <c r="D3" s="107">
        <f>SUMIF(SIP!B:B,A3,SIP!D:D)</f>
        <v>97.36399999999999</v>
      </c>
      <c r="E3" s="107">
        <f t="shared" ref="E3:E4" si="0">IFERROR(F3/D3,0)</f>
        <v>96.539193679388674</v>
      </c>
      <c r="F3" s="111" cm="1">
        <f t="array" ref="F3">SUMPRODUCT((SIP!B3:B101=A3)*(SIP!D3:D101)*(SIP!E3:E101))</f>
        <v>9399.4420533999983</v>
      </c>
      <c r="G3" s="112">
        <f t="shared" ref="G3:G4" si="1">D3*C3</f>
        <v>9541.6719999999987</v>
      </c>
      <c r="H3" s="111">
        <f t="shared" ref="H3:H4" si="2">IFERROR(G3-F3,0)</f>
        <v>142.2299466000004</v>
      </c>
      <c r="I3" s="113">
        <f t="shared" ref="I3:I4" si="3">IFERROR(H3/F3,0)</f>
        <v>1.5131743543070463E-2</v>
      </c>
      <c r="J3" s="94"/>
      <c r="K3" s="95"/>
      <c r="L3" s="94"/>
      <c r="M3" s="97"/>
      <c r="N3" s="94"/>
      <c r="O3" s="94"/>
      <c r="P3" s="94"/>
    </row>
    <row r="4" spans="1:16">
      <c r="A4" s="107" t="str">
        <v>Nippon India Mid Cap Fund</v>
      </c>
      <c r="B4" s="106" t="s">
        <v>119</v>
      </c>
      <c r="C4" s="107"/>
      <c r="D4" s="107">
        <f>SUMIF(SIP!B:B,A4,SIP!D:D)</f>
        <v>0</v>
      </c>
      <c r="E4" s="107">
        <f t="shared" si="0"/>
        <v>0</v>
      </c>
      <c r="F4" s="111" cm="1">
        <f t="array" ref="F4">SUMPRODUCT((SIP!B4:B102=A4)*(SIP!D4:D102)*(SIP!E4:E102))</f>
        <v>0</v>
      </c>
      <c r="G4" s="112">
        <f t="shared" si="1"/>
        <v>0</v>
      </c>
      <c r="H4" s="111">
        <f t="shared" si="2"/>
        <v>0</v>
      </c>
      <c r="I4" s="113">
        <f t="shared" si="3"/>
        <v>0</v>
      </c>
      <c r="J4" s="94"/>
      <c r="K4" s="95"/>
      <c r="L4" s="94"/>
      <c r="M4" s="98"/>
      <c r="N4" s="94"/>
      <c r="O4" s="96"/>
      <c r="P4" s="96"/>
    </row>
    <row r="5" spans="1:16">
      <c r="A5" s="93"/>
      <c r="B5" s="93"/>
      <c r="C5" s="93"/>
      <c r="D5" s="93"/>
      <c r="E5" s="93"/>
      <c r="F5" s="100"/>
      <c r="G5" s="102"/>
      <c r="H5" s="100"/>
      <c r="I5" s="104"/>
    </row>
    <row r="6" spans="1:16">
      <c r="A6" s="93"/>
      <c r="B6" s="93"/>
      <c r="C6" s="93"/>
      <c r="D6" s="93"/>
      <c r="E6" s="93"/>
      <c r="F6" s="100"/>
      <c r="G6" s="102"/>
      <c r="H6" s="100"/>
      <c r="I6" s="104"/>
    </row>
    <row r="7" spans="1:16">
      <c r="A7" s="93"/>
      <c r="B7" s="93"/>
      <c r="C7" s="93"/>
      <c r="D7" s="93"/>
      <c r="E7" s="93"/>
      <c r="F7" s="100"/>
      <c r="G7" s="102"/>
      <c r="H7" s="100"/>
      <c r="I7" s="104"/>
    </row>
    <row r="8" spans="1:16">
      <c r="A8" s="93"/>
      <c r="B8" s="93"/>
      <c r="C8" s="93"/>
      <c r="D8" s="93"/>
      <c r="E8" s="93"/>
      <c r="F8" s="100"/>
      <c r="G8" s="102"/>
      <c r="H8" s="100"/>
      <c r="I8" s="10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8AD0-41C0-4D7E-96D6-A257DE710859}">
  <dimension ref="A1"/>
  <sheetViews>
    <sheetView tabSelected="1" zoomScale="69" workbookViewId="0">
      <selection activeCell="X29" sqref="X29"/>
    </sheetView>
  </sheetViews>
  <sheetFormatPr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D8ADAF-6AF0-40CB-B2D4-2F4A6D6B18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Project_Overview</vt:lpstr>
      <vt:lpstr>Master_Sheet</vt:lpstr>
      <vt:lpstr>IND_TNX</vt:lpstr>
      <vt:lpstr>IND_HOLDINGS</vt:lpstr>
      <vt:lpstr>SUMMARY</vt:lpstr>
      <vt:lpstr>PORT_HISTORY</vt:lpstr>
      <vt:lpstr>SIP</vt:lpstr>
      <vt:lpstr>SIP-SUMMARY</vt:lpstr>
      <vt:lpstr>FORMULA_REFERENCE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Raja</dc:creator>
  <cp:lastModifiedBy>Karthick Raja</cp:lastModifiedBy>
  <dcterms:created xsi:type="dcterms:W3CDTF">2026-03-06T04:46:03Z</dcterms:created>
  <dcterms:modified xsi:type="dcterms:W3CDTF">2026-03-11T12:17:01Z</dcterms:modified>
</cp:coreProperties>
</file>